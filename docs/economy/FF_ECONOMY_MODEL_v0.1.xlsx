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urves" sheetId="2" state="visible" r:id="rId4"/>
    <sheet name="HeroLevels" sheetId="3" state="visible" r:id="rId5"/>
    <sheet name="Simulation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<sst xmlns="http://schemas.openxmlformats.org/spreadsheetml/2006/main" count="78" uniqueCount="78">
  <si>
    <t xml:space="preserve">FARM FARMER — Economy Model v0.1 (tuned via 24h player simulation, Jul 17 2026)</t>
  </si>
  <si>
    <t xml:space="preserve">LEGEND: blue text on yellow = editable design levers. Black = formulas. Green = cross-sheet links.</t>
  </si>
  <si>
    <t xml:space="preserve">All values below were selected by parameter sweep against pacing targets (see docs/ECONOMY_MODEL_NOTES).</t>
  </si>
  <si>
    <t xml:space="preserve">Parameter</t>
  </si>
  <si>
    <t xml:space="preserve">Value</t>
  </si>
  <si>
    <t xml:space="preserve">Note</t>
  </si>
  <si>
    <t xml:space="preserve">HP0 — Stage-1 enemy HP</t>
  </si>
  <si>
    <t xml:space="preserve">Base of enemy HP curve</t>
  </si>
  <si>
    <t xml:space="preserve">HP_GROWTH — HP multiplier per stage</t>
  </si>
  <si>
    <t xml:space="preserve">Genre range 1.5–1.6</t>
  </si>
  <si>
    <t xml:space="preserve">BOSS_EVERY — boss stage interval</t>
  </si>
  <si>
    <t xml:space="preserve">Boss every Nth stage</t>
  </si>
  <si>
    <t xml:space="preserve">BOSS_HP_MULT — boss HP multiplier</t>
  </si>
  <si>
    <t xml:space="preserve">vs normal enemy at same stage</t>
  </si>
  <si>
    <t xml:space="preserve">BOSS_TIMER — boss kill timer (sec)</t>
  </si>
  <si>
    <t xml:space="preserve">Fail knocks lane back one stage</t>
  </si>
  <si>
    <t xml:space="preserve">KILLS_PER_STAGE — tally to advance</t>
  </si>
  <si>
    <t xml:space="preserve">Locked Decision 4</t>
  </si>
  <si>
    <t xml:space="preserve">COIN_DIVISOR — coin/kill = HP ÷ this</t>
  </si>
  <si>
    <t xml:space="preserve">Coin scales WITH HP; pace governed by costs (key finding)</t>
  </si>
  <si>
    <t xml:space="preserve">BOSS_COIN_MULT — boss coin bonus</t>
  </si>
  <si>
    <t xml:space="preserve">Boss kills pay 10x</t>
  </si>
  <si>
    <t xml:space="preserve">LEVEL_COST0 — hero level base cost</t>
  </si>
  <si>
    <t xml:space="preserve">Early-game pace lever (raised 8→40 in tuning)</t>
  </si>
  <si>
    <t xml:space="preserve">COST_GROWTH — cost multiplier per level</t>
  </si>
  <si>
    <t xml:space="preserve">THE wall-pace lever. 1.07=runaway, 1.085=brutal</t>
  </si>
  <si>
    <t xml:space="preserve">DPS0 — hero base DPS per level</t>
  </si>
  <si>
    <t xml:space="preserve">Master curve base</t>
  </si>
  <si>
    <t xml:space="preserve">MILESTONE_EVERY — levels per milestone</t>
  </si>
  <si>
    <t xml:space="preserve">x-mult every N levels</t>
  </si>
  <si>
    <t xml:space="preserve">MILESTONE_MULT — milestone DPS mult</t>
  </si>
  <si>
    <t xml:space="preserve">x4 at 25/50/75…</t>
  </si>
  <si>
    <t xml:space="preserve">FARM_TTK_CAP — max sec/kill when farming</t>
  </si>
  <si>
    <t xml:space="preserve">Bot farms deepest stage under this TTK</t>
  </si>
  <si>
    <t xml:space="preserve">H2_DPS_MULT — Hero 2 DPS multiplier</t>
  </si>
  <si>
    <t xml:space="preserve">Master curve modifier (Decision 6 rule)</t>
  </si>
  <si>
    <t xml:space="preserve">H2_COST_MULT — Hero 2 cost multiplier</t>
  </si>
  <si>
    <t xml:space="preserve">dps/cost ratio &gt; 1 = catch-up feels great</t>
  </si>
  <si>
    <t xml:space="preserve">H2_UNLOCK_STAGE — L1 stage gating Hero 2</t>
  </si>
  <si>
    <t xml:space="preserve">Proposed cadence</t>
  </si>
  <si>
    <t xml:space="preserve">H2_UNLOCK_COST — coin price of Hero 2</t>
  </si>
  <si>
    <t xml:space="preserve">Tuned to land unlock ~56 min</t>
  </si>
  <si>
    <t xml:space="preserve">SEED_FLOOR — stages before Seeds accrue</t>
  </si>
  <si>
    <t xml:space="preserve">Seeds = floor((maxStage−floor)/interval) per lane</t>
  </si>
  <si>
    <t xml:space="preserve">SEED_INTERVAL — stages per Seed</t>
  </si>
  <si>
    <t xml:space="preserve">With floor 40: stage 70 lane pays 6 Seeds</t>
  </si>
  <si>
    <t xml:space="preserve">SEED_DPS_BONUS — global DPS per Seed</t>
  </si>
  <si>
    <t xml:space="preserve">RAISED 0.05→0.15 by run-2 sim: at 5%, run 2 was near-identical to run 1 (dead prestige)</t>
  </si>
  <si>
    <t xml:space="preserve">Stage curves — all cells below are formulas driven by Assumptions</t>
  </si>
  <si>
    <t xml:space="preserve">Stage</t>
  </si>
  <si>
    <t xml:space="preserve">Is Boss</t>
  </si>
  <si>
    <t xml:space="preserve">Enemy HP</t>
  </si>
  <si>
    <t xml:space="preserve">Coin / Kill</t>
  </si>
  <si>
    <t xml:space="preserve">Stage Coin (10 kills or 1 boss)</t>
  </si>
  <si>
    <t xml:space="preserve">Master hero curve + Hero 2 modifiers (Decision 6: one curve family, per-hero mults only)</t>
  </si>
  <si>
    <t xml:space="preserve">Level</t>
  </si>
  <si>
    <t xml:space="preserve">Level Cost (H1)</t>
  </si>
  <si>
    <t xml:space="preserve">DPS (H1)</t>
  </si>
  <si>
    <t xml:space="preserve">Level Cost (H2)</t>
  </si>
  <si>
    <t xml:space="preserve">DPS (H2)</t>
  </si>
  <si>
    <t xml:space="preserve">SIMULATION OUTPUT — data, not formulas. Source: sim/ff_sim.py greedy-allocator bot, 24h @ 30s ticks, params = Assumptions sheet.</t>
  </si>
  <si>
    <t xml:space="preserve">Hour</t>
  </si>
  <si>
    <t xml:space="preserve">L1 Max Stage</t>
  </si>
  <si>
    <t xml:space="preserve">L2 Max Stage</t>
  </si>
  <si>
    <t xml:space="preserve">L1 Level</t>
  </si>
  <si>
    <t xml:space="preserve">L2 Level</t>
  </si>
  <si>
    <t xml:space="preserve">Shared Wallet</t>
  </si>
  <si>
    <t xml:space="preserve">Milestone timings — INDEX/MATCH over Simulation sheet (stages are non-decreasing)</t>
  </si>
  <si>
    <t xml:space="preserve">Milestone</t>
  </si>
  <si>
    <t xml:space="preserve">Hour reached</t>
  </si>
  <si>
    <t xml:space="preserve">Lane 1 reaches stage 10</t>
  </si>
  <si>
    <t xml:space="preserve">Lane 1 reaches stage 25 (Hero 2 gate)</t>
  </si>
  <si>
    <t xml:space="preserve">Lane 1 reaches stage 50</t>
  </si>
  <si>
    <t xml:space="preserve">Lane 1 reaches stage 65 (soft wall zone)</t>
  </si>
  <si>
    <t xml:space="preserve">Lane 2 reaches stage 50</t>
  </si>
  <si>
    <t xml:space="preserve">First Harvest recommendation (sim-detected, &lt;2 stages gained over trailing 2h):</t>
  </si>
  <si>
    <t xml:space="preserve">Harvest Seeds at first prestige (both lanes stage 70, floor 40, interval 5):</t>
  </si>
  <si>
    <t xml:space="preserve">Run-2 global DPS bonus: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</si>
</sst>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###"/>
    <numFmt numFmtId="166" formatCode="#,##0.0"/>
    <numFmt numFmtId="167" formatCode="#,##0"/>
    <numFmt numFmtId="168" formatCode="0.00E+00"/>
    <numFmt numFmtId="169" formatCode="0.00"/>
    <numFmt numFmtId="170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2" t="s">
        <v>3</v>
      </c>
      <c r="B5" s="2" t="s">
        <v>4</v>
      </c>
      <c r="C5" s="2" t="s">
        <v>5</v>
      </c>
    </row>
    <row r="6" customFormat="false" ht="15" hidden="false" customHeight="true" outlineLevel="0" collapsed="false">
      <c r="A6" s="3" t="s">
        <v>6</v>
      </c>
      <c r="B6" s="4" t="n">
        <v>10</v>
      </c>
      <c r="C6" s="3" t="s">
        <v>7</v>
      </c>
    </row>
    <row r="7" customFormat="false" ht="15" hidden="false" customHeight="true" outlineLevel="0" collapsed="false">
      <c r="A7" s="3" t="s">
        <v>8</v>
      </c>
      <c r="B7" s="4" t="n">
        <v>1.55</v>
      </c>
      <c r="C7" s="3" t="s">
        <v>9</v>
      </c>
    </row>
    <row r="8" customFormat="false" ht="15" hidden="false" customHeight="true" outlineLevel="0" collapsed="false">
      <c r="A8" s="3" t="s">
        <v>10</v>
      </c>
      <c r="B8" s="4" t="n">
        <v>5</v>
      </c>
      <c r="C8" s="3" t="s">
        <v>11</v>
      </c>
    </row>
    <row r="9" customFormat="false" ht="15" hidden="false" customHeight="true" outlineLevel="0" collapsed="false">
      <c r="A9" s="3" t="s">
        <v>12</v>
      </c>
      <c r="B9" s="4" t="n">
        <v>8</v>
      </c>
      <c r="C9" s="3" t="s">
        <v>13</v>
      </c>
    </row>
    <row r="10" customFormat="false" ht="15" hidden="false" customHeight="true" outlineLevel="0" collapsed="false">
      <c r="A10" s="3" t="s">
        <v>14</v>
      </c>
      <c r="B10" s="4" t="n">
        <v>30</v>
      </c>
      <c r="C10" s="3" t="s">
        <v>15</v>
      </c>
    </row>
    <row r="11" customFormat="false" ht="15" hidden="false" customHeight="true" outlineLevel="0" collapsed="false">
      <c r="A11" s="3" t="s">
        <v>16</v>
      </c>
      <c r="B11" s="4" t="n">
        <v>10</v>
      </c>
      <c r="C11" s="3" t="s">
        <v>17</v>
      </c>
    </row>
    <row r="12" customFormat="false" ht="15" hidden="false" customHeight="true" outlineLevel="0" collapsed="false">
      <c r="A12" s="3" t="s">
        <v>18</v>
      </c>
      <c r="B12" s="4" t="n">
        <v>25</v>
      </c>
      <c r="C12" s="3" t="s">
        <v>19</v>
      </c>
    </row>
    <row r="13" customFormat="false" ht="15" hidden="false" customHeight="true" outlineLevel="0" collapsed="false">
      <c r="A13" s="3" t="s">
        <v>20</v>
      </c>
      <c r="B13" s="4" t="n">
        <v>10</v>
      </c>
      <c r="C13" s="3" t="s">
        <v>21</v>
      </c>
    </row>
    <row r="14" customFormat="false" ht="15" hidden="false" customHeight="true" outlineLevel="0" collapsed="false">
      <c r="A14" s="3" t="s">
        <v>22</v>
      </c>
      <c r="B14" s="4" t="n">
        <v>40</v>
      </c>
      <c r="C14" s="3" t="s">
        <v>23</v>
      </c>
    </row>
    <row r="15" customFormat="false" ht="15" hidden="false" customHeight="true" outlineLevel="0" collapsed="false">
      <c r="A15" s="3" t="s">
        <v>24</v>
      </c>
      <c r="B15" s="4" t="n">
        <v>1.075</v>
      </c>
      <c r="C15" s="3" t="s">
        <v>25</v>
      </c>
    </row>
    <row r="16" customFormat="false" ht="15" hidden="false" customHeight="true" outlineLevel="0" collapsed="false">
      <c r="A16" s="3" t="s">
        <v>26</v>
      </c>
      <c r="B16" s="4" t="n">
        <v>5</v>
      </c>
      <c r="C16" s="3" t="s">
        <v>27</v>
      </c>
    </row>
    <row r="17" customFormat="false" ht="15" hidden="false" customHeight="true" outlineLevel="0" collapsed="false">
      <c r="A17" s="3" t="s">
        <v>28</v>
      </c>
      <c r="B17" s="4" t="n">
        <v>25</v>
      </c>
      <c r="C17" s="3" t="s">
        <v>29</v>
      </c>
    </row>
    <row r="18" customFormat="false" ht="15" hidden="false" customHeight="true" outlineLevel="0" collapsed="false">
      <c r="A18" s="3" t="s">
        <v>30</v>
      </c>
      <c r="B18" s="4" t="n">
        <v>4</v>
      </c>
      <c r="C18" s="3" t="s">
        <v>31</v>
      </c>
    </row>
    <row r="19" customFormat="false" ht="15" hidden="false" customHeight="true" outlineLevel="0" collapsed="false">
      <c r="A19" s="3" t="s">
        <v>32</v>
      </c>
      <c r="B19" s="4" t="n">
        <v>30</v>
      </c>
      <c r="C19" s="3" t="s">
        <v>33</v>
      </c>
    </row>
    <row r="20" customFormat="false" ht="15" hidden="false" customHeight="true" outlineLevel="0" collapsed="false">
      <c r="A20" s="3" t="s">
        <v>34</v>
      </c>
      <c r="B20" s="4" t="n">
        <v>40</v>
      </c>
      <c r="C20" s="3" t="s">
        <v>35</v>
      </c>
    </row>
    <row r="21" customFormat="false" ht="15" hidden="false" customHeight="true" outlineLevel="0" collapsed="false">
      <c r="A21" s="3" t="s">
        <v>36</v>
      </c>
      <c r="B21" s="4" t="n">
        <v>120</v>
      </c>
      <c r="C21" s="3" t="s">
        <v>37</v>
      </c>
    </row>
    <row r="22" customFormat="false" ht="15" hidden="false" customHeight="true" outlineLevel="0" collapsed="false">
      <c r="A22" s="3" t="s">
        <v>38</v>
      </c>
      <c r="B22" s="4" t="n">
        <v>25</v>
      </c>
      <c r="C22" s="3" t="s">
        <v>39</v>
      </c>
    </row>
    <row r="23" customFormat="false" ht="15" hidden="false" customHeight="true" outlineLevel="0" collapsed="false">
      <c r="A23" s="3" t="s">
        <v>40</v>
      </c>
      <c r="B23" s="4" t="n">
        <v>100000</v>
      </c>
      <c r="C23" s="3" t="s">
        <v>41</v>
      </c>
    </row>
    <row r="24" customFormat="false" ht="15" hidden="false" customHeight="true" outlineLevel="0" collapsed="false">
      <c r="A24" s="3" t="s">
        <v>42</v>
      </c>
      <c r="B24" s="4" t="n">
        <v>40</v>
      </c>
      <c r="C24" s="3" t="s">
        <v>43</v>
      </c>
    </row>
    <row r="25" customFormat="false" ht="15" hidden="false" customHeight="true" outlineLevel="0" collapsed="false">
      <c r="A25" s="3" t="s">
        <v>44</v>
      </c>
      <c r="B25" s="4" t="n">
        <v>5</v>
      </c>
      <c r="C25" s="3" t="s">
        <v>45</v>
      </c>
    </row>
    <row r="26" customFormat="false" ht="15" hidden="false" customHeight="true" outlineLevel="0" collapsed="false">
      <c r="A26" s="3" t="s">
        <v>46</v>
      </c>
      <c r="B26" s="4" t="n">
        <v>0.15</v>
      </c>
      <c r="C26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4" min="3" style="1" width="16"/>
    <col collapsed="false" customWidth="true" hidden="false" outlineLevel="0" max="5" min="5" style="1" width="24"/>
  </cols>
  <sheetData>
    <row r="1" customFormat="false" ht="15" hidden="false" customHeight="true" outlineLevel="0" collapsed="false">
      <c r="A1" s="2" t="s">
        <v>48</v>
      </c>
    </row>
    <row r="2" customFormat="false" ht="15" hidden="false" customHeight="true" outlineLevel="0" collapsed="false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</row>
    <row r="3" customFormat="false" ht="15" hidden="false" customHeight="true" outlineLevel="0" collapsed="false">
      <c r="A3" s="3" t="n">
        <v>1</v>
      </c>
      <c r="B3" s="3" t="str">
        <f aca="false">IF(MOD(A3,Assumptions!$B$8)=0,"BOSS","")</f>
        <v/>
      </c>
      <c r="C3" s="5" t="n">
        <f aca="false">Assumptions!$B$6*Assumptions!$B$7^(A3-1)*IF(B3="BOSS",Assumptions!$B$9,1)</f>
        <v>10</v>
      </c>
      <c r="D3" s="5" t="n">
        <f aca="false">(Assumptions!$B$6*Assumptions!$B$7^(A3-1)/Assumptions!$B$12)*IF(B3="BOSS",Assumptions!$B$13,1)</f>
        <v>0.4</v>
      </c>
      <c r="E3" s="6" t="n">
        <f aca="false">D3*IF(B3="BOSS",1,Assumptions!$B$11)</f>
        <v>4</v>
      </c>
    </row>
    <row r="4" customFormat="false" ht="15" hidden="false" customHeight="true" outlineLevel="0" collapsed="false">
      <c r="A4" s="3" t="n">
        <v>2</v>
      </c>
      <c r="B4" s="3" t="str">
        <f aca="false">IF(MOD(A4,Assumptions!$B$8)=0,"BOSS","")</f>
        <v/>
      </c>
      <c r="C4" s="5" t="n">
        <f aca="false">Assumptions!$B$6*Assumptions!$B$7^(A4-1)*IF(B4="BOSS",Assumptions!$B$9,1)</f>
        <v>15.5</v>
      </c>
      <c r="D4" s="5" t="n">
        <f aca="false">(Assumptions!$B$6*Assumptions!$B$7^(A4-1)/Assumptions!$B$12)*IF(B4="BOSS",Assumptions!$B$13,1)</f>
        <v>0.62</v>
      </c>
      <c r="E4" s="6" t="n">
        <f aca="false">D4*IF(B4="BOSS",1,Assumptions!$B$11)</f>
        <v>6.2</v>
      </c>
    </row>
    <row r="5" customFormat="false" ht="15" hidden="false" customHeight="true" outlineLevel="0" collapsed="false">
      <c r="A5" s="3" t="n">
        <v>3</v>
      </c>
      <c r="B5" s="3" t="str">
        <f aca="false">IF(MOD(A5,Assumptions!$B$8)=0,"BOSS","")</f>
        <v/>
      </c>
      <c r="C5" s="5" t="n">
        <f aca="false">Assumptions!$B$6*Assumptions!$B$7^(A5-1)*IF(B5="BOSS",Assumptions!$B$9,1)</f>
        <v>24.025</v>
      </c>
      <c r="D5" s="5" t="n">
        <f aca="false">(Assumptions!$B$6*Assumptions!$B$7^(A5-1)/Assumptions!$B$12)*IF(B5="BOSS",Assumptions!$B$13,1)</f>
        <v>0.961</v>
      </c>
      <c r="E5" s="6" t="n">
        <f aca="false">D5*IF(B5="BOSS",1,Assumptions!$B$11)</f>
        <v>9.61</v>
      </c>
    </row>
    <row r="6" customFormat="false" ht="15" hidden="false" customHeight="true" outlineLevel="0" collapsed="false">
      <c r="A6" s="3" t="n">
        <v>4</v>
      </c>
      <c r="B6" s="3" t="str">
        <f aca="false">IF(MOD(A6,Assumptions!$B$8)=0,"BOSS","")</f>
        <v/>
      </c>
      <c r="C6" s="5" t="n">
        <f aca="false">Assumptions!$B$6*Assumptions!$B$7^(A6-1)*IF(B6="BOSS",Assumptions!$B$9,1)</f>
        <v>37.23875</v>
      </c>
      <c r="D6" s="5" t="n">
        <f aca="false">(Assumptions!$B$6*Assumptions!$B$7^(A6-1)/Assumptions!$B$12)*IF(B6="BOSS",Assumptions!$B$13,1)</f>
        <v>1.48955</v>
      </c>
      <c r="E6" s="6" t="n">
        <f aca="false">D6*IF(B6="BOSS",1,Assumptions!$B$11)</f>
        <v>14.8955</v>
      </c>
    </row>
    <row r="7" customFormat="false" ht="15" hidden="false" customHeight="true" outlineLevel="0" collapsed="false">
      <c r="A7" s="3" t="n">
        <v>5</v>
      </c>
      <c r="B7" s="3" t="str">
        <f aca="false">IF(MOD(A7,Assumptions!$B$8)=0,"BOSS","")</f>
        <v>BOSS</v>
      </c>
      <c r="C7" s="5" t="n">
        <f aca="false">Assumptions!$B$6*Assumptions!$B$7^(A7-1)*IF(B7="BOSS",Assumptions!$B$9,1)</f>
        <v>461.7605</v>
      </c>
      <c r="D7" s="5" t="n">
        <f aca="false">(Assumptions!$B$6*Assumptions!$B$7^(A7-1)/Assumptions!$B$12)*IF(B7="BOSS",Assumptions!$B$13,1)</f>
        <v>23.088025</v>
      </c>
      <c r="E7" s="6" t="n">
        <f aca="false">D7*IF(B7="BOSS",1,Assumptions!$B$11)</f>
        <v>23.088025</v>
      </c>
    </row>
    <row r="8" customFormat="false" ht="15" hidden="false" customHeight="true" outlineLevel="0" collapsed="false">
      <c r="A8" s="3" t="n">
        <v>6</v>
      </c>
      <c r="B8" s="3" t="str">
        <f aca="false">IF(MOD(A8,Assumptions!$B$8)=0,"BOSS","")</f>
        <v/>
      </c>
      <c r="C8" s="5" t="n">
        <f aca="false">Assumptions!$B$6*Assumptions!$B$7^(A8-1)*IF(B8="BOSS",Assumptions!$B$9,1)</f>
        <v>89.466096875</v>
      </c>
      <c r="D8" s="5" t="n">
        <f aca="false">(Assumptions!$B$6*Assumptions!$B$7^(A8-1)/Assumptions!$B$12)*IF(B8="BOSS",Assumptions!$B$13,1)</f>
        <v>3.578643875</v>
      </c>
      <c r="E8" s="6" t="n">
        <f aca="false">D8*IF(B8="BOSS",1,Assumptions!$B$11)</f>
        <v>35.78643875</v>
      </c>
    </row>
    <row r="9" customFormat="false" ht="15" hidden="false" customHeight="true" outlineLevel="0" collapsed="false">
      <c r="A9" s="3" t="n">
        <v>7</v>
      </c>
      <c r="B9" s="3" t="str">
        <f aca="false">IF(MOD(A9,Assumptions!$B$8)=0,"BOSS","")</f>
        <v/>
      </c>
      <c r="C9" s="5" t="n">
        <f aca="false">Assumptions!$B$6*Assumptions!$B$7^(A9-1)*IF(B9="BOSS",Assumptions!$B$9,1)</f>
        <v>138.67245015625</v>
      </c>
      <c r="D9" s="5" t="n">
        <f aca="false">(Assumptions!$B$6*Assumptions!$B$7^(A9-1)/Assumptions!$B$12)*IF(B9="BOSS",Assumptions!$B$13,1)</f>
        <v>5.54689800625</v>
      </c>
      <c r="E9" s="6" t="n">
        <f aca="false">D9*IF(B9="BOSS",1,Assumptions!$B$11)</f>
        <v>55.4689800625</v>
      </c>
    </row>
    <row r="10" customFormat="false" ht="15" hidden="false" customHeight="true" outlineLevel="0" collapsed="false">
      <c r="A10" s="3" t="n">
        <v>8</v>
      </c>
      <c r="B10" s="3" t="str">
        <f aca="false">IF(MOD(A10,Assumptions!$B$8)=0,"BOSS","")</f>
        <v/>
      </c>
      <c r="C10" s="5" t="n">
        <f aca="false">Assumptions!$B$6*Assumptions!$B$7^(A10-1)*IF(B10="BOSS",Assumptions!$B$9,1)</f>
        <v>214.942297742188</v>
      </c>
      <c r="D10" s="5" t="n">
        <f aca="false">(Assumptions!$B$6*Assumptions!$B$7^(A10-1)/Assumptions!$B$12)*IF(B10="BOSS",Assumptions!$B$13,1)</f>
        <v>8.5976919096875</v>
      </c>
      <c r="E10" s="6" t="n">
        <f aca="false">D10*IF(B10="BOSS",1,Assumptions!$B$11)</f>
        <v>85.976919096875</v>
      </c>
    </row>
    <row r="11" customFormat="false" ht="15" hidden="false" customHeight="true" outlineLevel="0" collapsed="false">
      <c r="A11" s="3" t="n">
        <v>9</v>
      </c>
      <c r="B11" s="3" t="str">
        <f aca="false">IF(MOD(A11,Assumptions!$B$8)=0,"BOSS","")</f>
        <v/>
      </c>
      <c r="C11" s="5" t="n">
        <f aca="false">Assumptions!$B$6*Assumptions!$B$7^(A11-1)*IF(B11="BOSS",Assumptions!$B$9,1)</f>
        <v>333.160561500391</v>
      </c>
      <c r="D11" s="5" t="n">
        <f aca="false">(Assumptions!$B$6*Assumptions!$B$7^(A11-1)/Assumptions!$B$12)*IF(B11="BOSS",Assumptions!$B$13,1)</f>
        <v>13.3264224600156</v>
      </c>
      <c r="E11" s="6" t="n">
        <f aca="false">D11*IF(B11="BOSS",1,Assumptions!$B$11)</f>
        <v>133.264224600156</v>
      </c>
    </row>
    <row r="12" customFormat="false" ht="15" hidden="false" customHeight="true" outlineLevel="0" collapsed="false">
      <c r="A12" s="3" t="n">
        <v>10</v>
      </c>
      <c r="B12" s="3" t="str">
        <f aca="false">IF(MOD(A12,Assumptions!$B$8)=0,"BOSS","")</f>
        <v>BOSS</v>
      </c>
      <c r="C12" s="5" t="n">
        <f aca="false">Assumptions!$B$6*Assumptions!$B$7^(A12-1)*IF(B12="BOSS",Assumptions!$B$9,1)</f>
        <v>4131.19096260485</v>
      </c>
      <c r="D12" s="5" t="n">
        <f aca="false">(Assumptions!$B$6*Assumptions!$B$7^(A12-1)/Assumptions!$B$12)*IF(B12="BOSS",Assumptions!$B$13,1)</f>
        <v>206.559548130242</v>
      </c>
      <c r="E12" s="6" t="n">
        <f aca="false">D12*IF(B12="BOSS",1,Assumptions!$B$11)</f>
        <v>206.559548130242</v>
      </c>
    </row>
    <row r="13" customFormat="false" ht="15" hidden="false" customHeight="true" outlineLevel="0" collapsed="false">
      <c r="A13" s="3" t="n">
        <v>11</v>
      </c>
      <c r="B13" s="3" t="str">
        <f aca="false">IF(MOD(A13,Assumptions!$B$8)=0,"BOSS","")</f>
        <v/>
      </c>
      <c r="C13" s="5" t="n">
        <f aca="false">Assumptions!$B$6*Assumptions!$B$7^(A13-1)*IF(B13="BOSS",Assumptions!$B$9,1)</f>
        <v>800.418249004689</v>
      </c>
      <c r="D13" s="5" t="n">
        <f aca="false">(Assumptions!$B$6*Assumptions!$B$7^(A13-1)/Assumptions!$B$12)*IF(B13="BOSS",Assumptions!$B$13,1)</f>
        <v>32.0167299601876</v>
      </c>
      <c r="E13" s="6" t="n">
        <f aca="false">D13*IF(B13="BOSS",1,Assumptions!$B$11)</f>
        <v>320.167299601875</v>
      </c>
    </row>
    <row r="14" customFormat="false" ht="15" hidden="false" customHeight="true" outlineLevel="0" collapsed="false">
      <c r="A14" s="3" t="n">
        <v>12</v>
      </c>
      <c r="B14" s="3" t="str">
        <f aca="false">IF(MOD(A14,Assumptions!$B$8)=0,"BOSS","")</f>
        <v/>
      </c>
      <c r="C14" s="5" t="n">
        <f aca="false">Assumptions!$B$6*Assumptions!$B$7^(A14-1)*IF(B14="BOSS",Assumptions!$B$9,1)</f>
        <v>1240.64828595727</v>
      </c>
      <c r="D14" s="5" t="n">
        <f aca="false">(Assumptions!$B$6*Assumptions!$B$7^(A14-1)/Assumptions!$B$12)*IF(B14="BOSS",Assumptions!$B$13,1)</f>
        <v>49.6259314382907</v>
      </c>
      <c r="E14" s="6" t="n">
        <f aca="false">D14*IF(B14="BOSS",1,Assumptions!$B$11)</f>
        <v>496.259314382907</v>
      </c>
    </row>
    <row r="15" customFormat="false" ht="15" hidden="false" customHeight="true" outlineLevel="0" collapsed="false">
      <c r="A15" s="3" t="n">
        <v>13</v>
      </c>
      <c r="B15" s="3" t="str">
        <f aca="false">IF(MOD(A15,Assumptions!$B$8)=0,"BOSS","")</f>
        <v/>
      </c>
      <c r="C15" s="5" t="n">
        <f aca="false">Assumptions!$B$6*Assumptions!$B$7^(A15-1)*IF(B15="BOSS",Assumptions!$B$9,1)</f>
        <v>1923.00484323376</v>
      </c>
      <c r="D15" s="5" t="n">
        <f aca="false">(Assumptions!$B$6*Assumptions!$B$7^(A15-1)/Assumptions!$B$12)*IF(B15="BOSS",Assumptions!$B$13,1)</f>
        <v>76.9201937293506</v>
      </c>
      <c r="E15" s="6" t="n">
        <f aca="false">D15*IF(B15="BOSS",1,Assumptions!$B$11)</f>
        <v>769.201937293506</v>
      </c>
    </row>
    <row r="16" customFormat="false" ht="15" hidden="false" customHeight="true" outlineLevel="0" collapsed="false">
      <c r="A16" s="3" t="n">
        <v>14</v>
      </c>
      <c r="B16" s="3" t="str">
        <f aca="false">IF(MOD(A16,Assumptions!$B$8)=0,"BOSS","")</f>
        <v/>
      </c>
      <c r="C16" s="5" t="n">
        <f aca="false">Assumptions!$B$6*Assumptions!$B$7^(A16-1)*IF(B16="BOSS",Assumptions!$B$9,1)</f>
        <v>2980.65750701234</v>
      </c>
      <c r="D16" s="5" t="n">
        <f aca="false">(Assumptions!$B$6*Assumptions!$B$7^(A16-1)/Assumptions!$B$12)*IF(B16="BOSS",Assumptions!$B$13,1)</f>
        <v>119.226300280493</v>
      </c>
      <c r="E16" s="6" t="n">
        <f aca="false">D16*IF(B16="BOSS",1,Assumptions!$B$11)</f>
        <v>1192.26300280493</v>
      </c>
    </row>
    <row r="17" customFormat="false" ht="15" hidden="false" customHeight="true" outlineLevel="0" collapsed="false">
      <c r="A17" s="3" t="n">
        <v>15</v>
      </c>
      <c r="B17" s="3" t="str">
        <f aca="false">IF(MOD(A17,Assumptions!$B$8)=0,"BOSS","")</f>
        <v>BOSS</v>
      </c>
      <c r="C17" s="5" t="n">
        <f aca="false">Assumptions!$B$6*Assumptions!$B$7^(A17-1)*IF(B17="BOSS",Assumptions!$B$9,1)</f>
        <v>36960.153086953</v>
      </c>
      <c r="D17" s="5" t="n">
        <f aca="false">(Assumptions!$B$6*Assumptions!$B$7^(A17-1)/Assumptions!$B$12)*IF(B17="BOSS",Assumptions!$B$13,1)</f>
        <v>1848.00765434765</v>
      </c>
      <c r="E17" s="6" t="n">
        <f aca="false">D17*IF(B17="BOSS",1,Assumptions!$B$11)</f>
        <v>1848.00765434765</v>
      </c>
    </row>
    <row r="18" customFormat="false" ht="15" hidden="false" customHeight="true" outlineLevel="0" collapsed="false">
      <c r="A18" s="3" t="n">
        <v>16</v>
      </c>
      <c r="B18" s="3" t="str">
        <f aca="false">IF(MOD(A18,Assumptions!$B$8)=0,"BOSS","")</f>
        <v/>
      </c>
      <c r="C18" s="5" t="n">
        <f aca="false">Assumptions!$B$6*Assumptions!$B$7^(A18-1)*IF(B18="BOSS",Assumptions!$B$9,1)</f>
        <v>7161.02966059714</v>
      </c>
      <c r="D18" s="5" t="n">
        <f aca="false">(Assumptions!$B$6*Assumptions!$B$7^(A18-1)/Assumptions!$B$12)*IF(B18="BOSS",Assumptions!$B$13,1)</f>
        <v>286.441186423885</v>
      </c>
      <c r="E18" s="6" t="n">
        <f aca="false">D18*IF(B18="BOSS",1,Assumptions!$B$11)</f>
        <v>2864.41186423885</v>
      </c>
    </row>
    <row r="19" customFormat="false" ht="15" hidden="false" customHeight="true" outlineLevel="0" collapsed="false">
      <c r="A19" s="3" t="n">
        <v>17</v>
      </c>
      <c r="B19" s="3" t="str">
        <f aca="false">IF(MOD(A19,Assumptions!$B$8)=0,"BOSS","")</f>
        <v/>
      </c>
      <c r="C19" s="5" t="n">
        <f aca="false">Assumptions!$B$6*Assumptions!$B$7^(A19-1)*IF(B19="BOSS",Assumptions!$B$9,1)</f>
        <v>11099.5959739256</v>
      </c>
      <c r="D19" s="5" t="n">
        <f aca="false">(Assumptions!$B$6*Assumptions!$B$7^(A19-1)/Assumptions!$B$12)*IF(B19="BOSS",Assumptions!$B$13,1)</f>
        <v>443.983838957022</v>
      </c>
      <c r="E19" s="6" t="n">
        <f aca="false">D19*IF(B19="BOSS",1,Assumptions!$B$11)</f>
        <v>4439.83838957022</v>
      </c>
    </row>
    <row r="20" customFormat="false" ht="15" hidden="false" customHeight="true" outlineLevel="0" collapsed="false">
      <c r="A20" s="3" t="n">
        <v>18</v>
      </c>
      <c r="B20" s="3" t="str">
        <f aca="false">IF(MOD(A20,Assumptions!$B$8)=0,"BOSS","")</f>
        <v/>
      </c>
      <c r="C20" s="5" t="n">
        <f aca="false">Assumptions!$B$6*Assumptions!$B$7^(A20-1)*IF(B20="BOSS",Assumptions!$B$9,1)</f>
        <v>17204.3737595846</v>
      </c>
      <c r="D20" s="5" t="n">
        <f aca="false">(Assumptions!$B$6*Assumptions!$B$7^(A20-1)/Assumptions!$B$12)*IF(B20="BOSS",Assumptions!$B$13,1)</f>
        <v>688.174950383385</v>
      </c>
      <c r="E20" s="6" t="n">
        <f aca="false">D20*IF(B20="BOSS",1,Assumptions!$B$11)</f>
        <v>6881.74950383385</v>
      </c>
    </row>
    <row r="21" customFormat="false" ht="15" hidden="false" customHeight="true" outlineLevel="0" collapsed="false">
      <c r="A21" s="3" t="n">
        <v>19</v>
      </c>
      <c r="B21" s="3" t="str">
        <f aca="false">IF(MOD(A21,Assumptions!$B$8)=0,"BOSS","")</f>
        <v/>
      </c>
      <c r="C21" s="5" t="n">
        <f aca="false">Assumptions!$B$6*Assumptions!$B$7^(A21-1)*IF(B21="BOSS",Assumptions!$B$9,1)</f>
        <v>26666.7793273562</v>
      </c>
      <c r="D21" s="5" t="n">
        <f aca="false">(Assumptions!$B$6*Assumptions!$B$7^(A21-1)/Assumptions!$B$12)*IF(B21="BOSS",Assumptions!$B$13,1)</f>
        <v>1066.67117309425</v>
      </c>
      <c r="E21" s="6" t="n">
        <f aca="false">D21*IF(B21="BOSS",1,Assumptions!$B$11)</f>
        <v>10666.7117309425</v>
      </c>
    </row>
    <row r="22" customFormat="false" ht="15" hidden="false" customHeight="true" outlineLevel="0" collapsed="false">
      <c r="A22" s="3" t="n">
        <v>20</v>
      </c>
      <c r="B22" s="3" t="str">
        <f aca="false">IF(MOD(A22,Assumptions!$B$8)=0,"BOSS","")</f>
        <v>BOSS</v>
      </c>
      <c r="C22" s="5" t="n">
        <f aca="false">Assumptions!$B$6*Assumptions!$B$7^(A22-1)*IF(B22="BOSS",Assumptions!$B$9,1)</f>
        <v>330668.063659216</v>
      </c>
      <c r="D22" s="5" t="n">
        <f aca="false">(Assumptions!$B$6*Assumptions!$B$7^(A22-1)/Assumptions!$B$12)*IF(B22="BOSS",Assumptions!$B$13,1)</f>
        <v>16533.4031829608</v>
      </c>
      <c r="E22" s="6" t="n">
        <f aca="false">D22*IF(B22="BOSS",1,Assumptions!$B$11)</f>
        <v>16533.4031829608</v>
      </c>
    </row>
    <row r="23" customFormat="false" ht="15" hidden="false" customHeight="true" outlineLevel="0" collapsed="false">
      <c r="A23" s="3" t="n">
        <v>21</v>
      </c>
      <c r="B23" s="3" t="str">
        <f aca="false">IF(MOD(A23,Assumptions!$B$8)=0,"BOSS","")</f>
        <v/>
      </c>
      <c r="C23" s="5" t="n">
        <f aca="false">Assumptions!$B$6*Assumptions!$B$7^(A23-1)*IF(B23="BOSS",Assumptions!$B$9,1)</f>
        <v>64066.9373339732</v>
      </c>
      <c r="D23" s="5" t="n">
        <f aca="false">(Assumptions!$B$6*Assumptions!$B$7^(A23-1)/Assumptions!$B$12)*IF(B23="BOSS",Assumptions!$B$13,1)</f>
        <v>2562.67749335893</v>
      </c>
      <c r="E23" s="6" t="n">
        <f aca="false">D23*IF(B23="BOSS",1,Assumptions!$B$11)</f>
        <v>25626.7749335893</v>
      </c>
    </row>
    <row r="24" customFormat="false" ht="15" hidden="false" customHeight="true" outlineLevel="0" collapsed="false">
      <c r="A24" s="3" t="n">
        <v>22</v>
      </c>
      <c r="B24" s="3" t="str">
        <f aca="false">IF(MOD(A24,Assumptions!$B$8)=0,"BOSS","")</f>
        <v/>
      </c>
      <c r="C24" s="5" t="n">
        <f aca="false">Assumptions!$B$6*Assumptions!$B$7^(A24-1)*IF(B24="BOSS",Assumptions!$B$9,1)</f>
        <v>99303.7528676585</v>
      </c>
      <c r="D24" s="5" t="n">
        <f aca="false">(Assumptions!$B$6*Assumptions!$B$7^(A24-1)/Assumptions!$B$12)*IF(B24="BOSS",Assumptions!$B$13,1)</f>
        <v>3972.15011470634</v>
      </c>
      <c r="E24" s="6" t="n">
        <f aca="false">D24*IF(B24="BOSS",1,Assumptions!$B$11)</f>
        <v>39721.5011470634</v>
      </c>
    </row>
    <row r="25" customFormat="false" ht="15" hidden="false" customHeight="true" outlineLevel="0" collapsed="false">
      <c r="A25" s="3" t="n">
        <v>23</v>
      </c>
      <c r="B25" s="3" t="str">
        <f aca="false">IF(MOD(A25,Assumptions!$B$8)=0,"BOSS","")</f>
        <v/>
      </c>
      <c r="C25" s="5" t="n">
        <f aca="false">Assumptions!$B$6*Assumptions!$B$7^(A25-1)*IF(B25="BOSS",Assumptions!$B$9,1)</f>
        <v>153920.816944871</v>
      </c>
      <c r="D25" s="5" t="n">
        <f aca="false">(Assumptions!$B$6*Assumptions!$B$7^(A25-1)/Assumptions!$B$12)*IF(B25="BOSS",Assumptions!$B$13,1)</f>
        <v>6156.83267779482</v>
      </c>
      <c r="E25" s="6" t="n">
        <f aca="false">D25*IF(B25="BOSS",1,Assumptions!$B$11)</f>
        <v>61568.3267779482</v>
      </c>
    </row>
    <row r="26" customFormat="false" ht="15" hidden="false" customHeight="true" outlineLevel="0" collapsed="false">
      <c r="A26" s="3" t="n">
        <v>24</v>
      </c>
      <c r="B26" s="3" t="str">
        <f aca="false">IF(MOD(A26,Assumptions!$B$8)=0,"BOSS","")</f>
        <v/>
      </c>
      <c r="C26" s="5" t="n">
        <f aca="false">Assumptions!$B$6*Assumptions!$B$7^(A26-1)*IF(B26="BOSS",Assumptions!$B$9,1)</f>
        <v>238577.266264549</v>
      </c>
      <c r="D26" s="5" t="n">
        <f aca="false">(Assumptions!$B$6*Assumptions!$B$7^(A26-1)/Assumptions!$B$12)*IF(B26="BOSS",Assumptions!$B$13,1)</f>
        <v>9543.09065058198</v>
      </c>
      <c r="E26" s="6" t="n">
        <f aca="false">D26*IF(B26="BOSS",1,Assumptions!$B$11)</f>
        <v>95430.9065058198</v>
      </c>
    </row>
    <row r="27" customFormat="false" ht="15" hidden="false" customHeight="true" outlineLevel="0" collapsed="false">
      <c r="A27" s="3" t="n">
        <v>25</v>
      </c>
      <c r="B27" s="3" t="str">
        <f aca="false">IF(MOD(A27,Assumptions!$B$8)=0,"BOSS","")</f>
        <v>BOSS</v>
      </c>
      <c r="C27" s="5" t="n">
        <f aca="false">Assumptions!$B$6*Assumptions!$B$7^(A27-1)*IF(B27="BOSS",Assumptions!$B$9,1)</f>
        <v>2958358.10168041</v>
      </c>
      <c r="D27" s="5" t="n">
        <f aca="false">(Assumptions!$B$6*Assumptions!$B$7^(A27-1)/Assumptions!$B$12)*IF(B27="BOSS",Assumptions!$B$13,1)</f>
        <v>147917.905084021</v>
      </c>
      <c r="E27" s="6" t="n">
        <f aca="false">D27*IF(B27="BOSS",1,Assumptions!$B$11)</f>
        <v>147917.905084021</v>
      </c>
    </row>
    <row r="28" customFormat="false" ht="15" hidden="false" customHeight="true" outlineLevel="0" collapsed="false">
      <c r="A28" s="3" t="n">
        <v>26</v>
      </c>
      <c r="B28" s="3" t="str">
        <f aca="false">IF(MOD(A28,Assumptions!$B$8)=0,"BOSS","")</f>
        <v/>
      </c>
      <c r="C28" s="5" t="n">
        <f aca="false">Assumptions!$B$6*Assumptions!$B$7^(A28-1)*IF(B28="BOSS",Assumptions!$B$9,1)</f>
        <v>573181.88220058</v>
      </c>
      <c r="D28" s="5" t="n">
        <f aca="false">(Assumptions!$B$6*Assumptions!$B$7^(A28-1)/Assumptions!$B$12)*IF(B28="BOSS",Assumptions!$B$13,1)</f>
        <v>22927.2752880232</v>
      </c>
      <c r="E28" s="6" t="n">
        <f aca="false">D28*IF(B28="BOSS",1,Assumptions!$B$11)</f>
        <v>229272.752880232</v>
      </c>
    </row>
    <row r="29" customFormat="false" ht="15" hidden="false" customHeight="true" outlineLevel="0" collapsed="false">
      <c r="A29" s="3" t="n">
        <v>27</v>
      </c>
      <c r="B29" s="3" t="str">
        <f aca="false">IF(MOD(A29,Assumptions!$B$8)=0,"BOSS","")</f>
        <v/>
      </c>
      <c r="C29" s="5" t="n">
        <f aca="false">Assumptions!$B$6*Assumptions!$B$7^(A29-1)*IF(B29="BOSS",Assumptions!$B$9,1)</f>
        <v>888431.917410899</v>
      </c>
      <c r="D29" s="5" t="n">
        <f aca="false">(Assumptions!$B$6*Assumptions!$B$7^(A29-1)/Assumptions!$B$12)*IF(B29="BOSS",Assumptions!$B$13,1)</f>
        <v>35537.276696436</v>
      </c>
      <c r="E29" s="6" t="n">
        <f aca="false">D29*IF(B29="BOSS",1,Assumptions!$B$11)</f>
        <v>355372.76696436</v>
      </c>
    </row>
    <row r="30" customFormat="false" ht="15" hidden="false" customHeight="true" outlineLevel="0" collapsed="false">
      <c r="A30" s="3" t="n">
        <v>28</v>
      </c>
      <c r="B30" s="3" t="str">
        <f aca="false">IF(MOD(A30,Assumptions!$B$8)=0,"BOSS","")</f>
        <v/>
      </c>
      <c r="C30" s="5" t="n">
        <f aca="false">Assumptions!$B$6*Assumptions!$B$7^(A30-1)*IF(B30="BOSS",Assumptions!$B$9,1)</f>
        <v>1377069.47198689</v>
      </c>
      <c r="D30" s="5" t="n">
        <f aca="false">(Assumptions!$B$6*Assumptions!$B$7^(A30-1)/Assumptions!$B$12)*IF(B30="BOSS",Assumptions!$B$13,1)</f>
        <v>55082.7788794757</v>
      </c>
      <c r="E30" s="6" t="n">
        <f aca="false">D30*IF(B30="BOSS",1,Assumptions!$B$11)</f>
        <v>550827.788794757</v>
      </c>
    </row>
    <row r="31" customFormat="false" ht="15" hidden="false" customHeight="true" outlineLevel="0" collapsed="false">
      <c r="A31" s="3" t="n">
        <v>29</v>
      </c>
      <c r="B31" s="3" t="str">
        <f aca="false">IF(MOD(A31,Assumptions!$B$8)=0,"BOSS","")</f>
        <v/>
      </c>
      <c r="C31" s="5" t="n">
        <f aca="false">Assumptions!$B$6*Assumptions!$B$7^(A31-1)*IF(B31="BOSS",Assumptions!$B$9,1)</f>
        <v>2134457.68157969</v>
      </c>
      <c r="D31" s="5" t="n">
        <f aca="false">(Assumptions!$B$6*Assumptions!$B$7^(A31-1)/Assumptions!$B$12)*IF(B31="BOSS",Assumptions!$B$13,1)</f>
        <v>85378.3072631874</v>
      </c>
      <c r="E31" s="6" t="n">
        <f aca="false">D31*IF(B31="BOSS",1,Assumptions!$B$11)</f>
        <v>853783.072631874</v>
      </c>
    </row>
    <row r="32" customFormat="false" ht="15" hidden="false" customHeight="true" outlineLevel="0" collapsed="false">
      <c r="A32" s="3" t="n">
        <v>30</v>
      </c>
      <c r="B32" s="3" t="str">
        <f aca="false">IF(MOD(A32,Assumptions!$B$8)=0,"BOSS","")</f>
        <v>BOSS</v>
      </c>
      <c r="C32" s="5" t="n">
        <f aca="false">Assumptions!$B$6*Assumptions!$B$7^(A32-1)*IF(B32="BOSS",Assumptions!$B$9,1)</f>
        <v>26467275.2515881</v>
      </c>
      <c r="D32" s="5" t="n">
        <f aca="false">(Assumptions!$B$6*Assumptions!$B$7^(A32-1)/Assumptions!$B$12)*IF(B32="BOSS",Assumptions!$B$13,1)</f>
        <v>1323363.7625794</v>
      </c>
      <c r="E32" s="6" t="n">
        <f aca="false">D32*IF(B32="BOSS",1,Assumptions!$B$11)</f>
        <v>1323363.7625794</v>
      </c>
    </row>
    <row r="33" customFormat="false" ht="15" hidden="false" customHeight="true" outlineLevel="0" collapsed="false">
      <c r="A33" s="3" t="n">
        <v>31</v>
      </c>
      <c r="B33" s="3" t="str">
        <f aca="false">IF(MOD(A33,Assumptions!$B$8)=0,"BOSS","")</f>
        <v/>
      </c>
      <c r="C33" s="5" t="n">
        <f aca="false">Assumptions!$B$6*Assumptions!$B$7^(A33-1)*IF(B33="BOSS",Assumptions!$B$9,1)</f>
        <v>5128034.57999519</v>
      </c>
      <c r="D33" s="5" t="n">
        <f aca="false">(Assumptions!$B$6*Assumptions!$B$7^(A33-1)/Assumptions!$B$12)*IF(B33="BOSS",Assumptions!$B$13,1)</f>
        <v>205121.383199808</v>
      </c>
      <c r="E33" s="6" t="n">
        <f aca="false">D33*IF(B33="BOSS",1,Assumptions!$B$11)</f>
        <v>2051213.83199808</v>
      </c>
    </row>
    <row r="34" customFormat="false" ht="15" hidden="false" customHeight="true" outlineLevel="0" collapsed="false">
      <c r="A34" s="3" t="n">
        <v>32</v>
      </c>
      <c r="B34" s="3" t="str">
        <f aca="false">IF(MOD(A34,Assumptions!$B$8)=0,"BOSS","")</f>
        <v/>
      </c>
      <c r="C34" s="5" t="n">
        <f aca="false">Assumptions!$B$6*Assumptions!$B$7^(A34-1)*IF(B34="BOSS",Assumptions!$B$9,1)</f>
        <v>7948453.59899255</v>
      </c>
      <c r="D34" s="5" t="n">
        <f aca="false">(Assumptions!$B$6*Assumptions!$B$7^(A34-1)/Assumptions!$B$12)*IF(B34="BOSS",Assumptions!$B$13,1)</f>
        <v>317938.143959702</v>
      </c>
      <c r="E34" s="6" t="n">
        <f aca="false">D34*IF(B34="BOSS",1,Assumptions!$B$11)</f>
        <v>3179381.43959702</v>
      </c>
    </row>
    <row r="35" customFormat="false" ht="15" hidden="false" customHeight="true" outlineLevel="0" collapsed="false">
      <c r="A35" s="3" t="n">
        <v>33</v>
      </c>
      <c r="B35" s="3" t="str">
        <f aca="false">IF(MOD(A35,Assumptions!$B$8)=0,"BOSS","")</f>
        <v/>
      </c>
      <c r="C35" s="5" t="n">
        <f aca="false">Assumptions!$B$6*Assumptions!$B$7^(A35-1)*IF(B35="BOSS",Assumptions!$B$9,1)</f>
        <v>12320103.0784385</v>
      </c>
      <c r="D35" s="5" t="n">
        <f aca="false">(Assumptions!$B$6*Assumptions!$B$7^(A35-1)/Assumptions!$B$12)*IF(B35="BOSS",Assumptions!$B$13,1)</f>
        <v>492804.123137538</v>
      </c>
      <c r="E35" s="6" t="n">
        <f aca="false">D35*IF(B35="BOSS",1,Assumptions!$B$11)</f>
        <v>4928041.23137538</v>
      </c>
    </row>
    <row r="36" customFormat="false" ht="15" hidden="false" customHeight="true" outlineLevel="0" collapsed="false">
      <c r="A36" s="3" t="n">
        <v>34</v>
      </c>
      <c r="B36" s="3" t="str">
        <f aca="false">IF(MOD(A36,Assumptions!$B$8)=0,"BOSS","")</f>
        <v/>
      </c>
      <c r="C36" s="5" t="n">
        <f aca="false">Assumptions!$B$6*Assumptions!$B$7^(A36-1)*IF(B36="BOSS",Assumptions!$B$9,1)</f>
        <v>19096159.7715796</v>
      </c>
      <c r="D36" s="5" t="n">
        <f aca="false">(Assumptions!$B$6*Assumptions!$B$7^(A36-1)/Assumptions!$B$12)*IF(B36="BOSS",Assumptions!$B$13,1)</f>
        <v>763846.390863184</v>
      </c>
      <c r="E36" s="6" t="n">
        <f aca="false">D36*IF(B36="BOSS",1,Assumptions!$B$11)</f>
        <v>7638463.90863184</v>
      </c>
    </row>
    <row r="37" customFormat="false" ht="15" hidden="false" customHeight="true" outlineLevel="0" collapsed="false">
      <c r="A37" s="3" t="n">
        <v>35</v>
      </c>
      <c r="B37" s="3" t="str">
        <f aca="false">IF(MOD(A37,Assumptions!$B$8)=0,"BOSS","")</f>
        <v>BOSS</v>
      </c>
      <c r="C37" s="5" t="n">
        <f aca="false">Assumptions!$B$6*Assumptions!$B$7^(A37-1)*IF(B37="BOSS",Assumptions!$B$9,1)</f>
        <v>236792381.167587</v>
      </c>
      <c r="D37" s="5" t="n">
        <f aca="false">(Assumptions!$B$6*Assumptions!$B$7^(A37-1)/Assumptions!$B$12)*IF(B37="BOSS",Assumptions!$B$13,1)</f>
        <v>11839619.0583794</v>
      </c>
      <c r="E37" s="6" t="n">
        <f aca="false">D37*IF(B37="BOSS",1,Assumptions!$B$11)</f>
        <v>11839619.0583794</v>
      </c>
    </row>
    <row r="38" customFormat="false" ht="15" hidden="false" customHeight="true" outlineLevel="0" collapsed="false">
      <c r="A38" s="3" t="n">
        <v>36</v>
      </c>
      <c r="B38" s="3" t="str">
        <f aca="false">IF(MOD(A38,Assumptions!$B$8)=0,"BOSS","")</f>
        <v/>
      </c>
      <c r="C38" s="5" t="n">
        <f aca="false">Assumptions!$B$6*Assumptions!$B$7^(A38-1)*IF(B38="BOSS",Assumptions!$B$9,1)</f>
        <v>45878523.85122</v>
      </c>
      <c r="D38" s="5" t="n">
        <f aca="false">(Assumptions!$B$6*Assumptions!$B$7^(A38-1)/Assumptions!$B$12)*IF(B38="BOSS",Assumptions!$B$13,1)</f>
        <v>1835140.9540488</v>
      </c>
      <c r="E38" s="6" t="n">
        <f aca="false">D38*IF(B38="BOSS",1,Assumptions!$B$11)</f>
        <v>18351409.540488</v>
      </c>
    </row>
    <row r="39" customFormat="false" ht="15" hidden="false" customHeight="true" outlineLevel="0" collapsed="false">
      <c r="A39" s="3" t="n">
        <v>37</v>
      </c>
      <c r="B39" s="3" t="str">
        <f aca="false">IF(MOD(A39,Assumptions!$B$8)=0,"BOSS","")</f>
        <v/>
      </c>
      <c r="C39" s="5" t="n">
        <f aca="false">Assumptions!$B$6*Assumptions!$B$7^(A39-1)*IF(B39="BOSS",Assumptions!$B$9,1)</f>
        <v>71111711.969391</v>
      </c>
      <c r="D39" s="5" t="n">
        <f aca="false">(Assumptions!$B$6*Assumptions!$B$7^(A39-1)/Assumptions!$B$12)*IF(B39="BOSS",Assumptions!$B$13,1)</f>
        <v>2844468.47877564</v>
      </c>
      <c r="E39" s="6" t="n">
        <f aca="false">D39*IF(B39="BOSS",1,Assumptions!$B$11)</f>
        <v>28444684.7877564</v>
      </c>
    </row>
    <row r="40" customFormat="false" ht="15" hidden="false" customHeight="true" outlineLevel="0" collapsed="false">
      <c r="A40" s="3" t="n">
        <v>38</v>
      </c>
      <c r="B40" s="3" t="str">
        <f aca="false">IF(MOD(A40,Assumptions!$B$8)=0,"BOSS","")</f>
        <v/>
      </c>
      <c r="C40" s="5" t="n">
        <f aca="false">Assumptions!$B$6*Assumptions!$B$7^(A40-1)*IF(B40="BOSS",Assumptions!$B$9,1)</f>
        <v>110223153.552556</v>
      </c>
      <c r="D40" s="5" t="n">
        <f aca="false">(Assumptions!$B$6*Assumptions!$B$7^(A40-1)/Assumptions!$B$12)*IF(B40="BOSS",Assumptions!$B$13,1)</f>
        <v>4408926.14210224</v>
      </c>
      <c r="E40" s="6" t="n">
        <f aca="false">D40*IF(B40="BOSS",1,Assumptions!$B$11)</f>
        <v>44089261.4210224</v>
      </c>
    </row>
    <row r="41" customFormat="false" ht="15" hidden="false" customHeight="true" outlineLevel="0" collapsed="false">
      <c r="A41" s="3" t="n">
        <v>39</v>
      </c>
      <c r="B41" s="3" t="str">
        <f aca="false">IF(MOD(A41,Assumptions!$B$8)=0,"BOSS","")</f>
        <v/>
      </c>
      <c r="C41" s="5" t="n">
        <f aca="false">Assumptions!$B$6*Assumptions!$B$7^(A41-1)*IF(B41="BOSS",Assumptions!$B$9,1)</f>
        <v>170845888.006462</v>
      </c>
      <c r="D41" s="5" t="n">
        <f aca="false">(Assumptions!$B$6*Assumptions!$B$7^(A41-1)/Assumptions!$B$12)*IF(B41="BOSS",Assumptions!$B$13,1)</f>
        <v>6833835.52025848</v>
      </c>
      <c r="E41" s="6" t="n">
        <f aca="false">D41*IF(B41="BOSS",1,Assumptions!$B$11)</f>
        <v>68338355.2025847</v>
      </c>
    </row>
    <row r="42" customFormat="false" ht="15" hidden="false" customHeight="true" outlineLevel="0" collapsed="false">
      <c r="A42" s="3" t="n">
        <v>40</v>
      </c>
      <c r="B42" s="3" t="str">
        <f aca="false">IF(MOD(A42,Assumptions!$B$8)=0,"BOSS","")</f>
        <v>BOSS</v>
      </c>
      <c r="C42" s="5" t="n">
        <f aca="false">Assumptions!$B$6*Assumptions!$B$7^(A42-1)*IF(B42="BOSS",Assumptions!$B$9,1)</f>
        <v>2118489011.28013</v>
      </c>
      <c r="D42" s="5" t="n">
        <f aca="false">(Assumptions!$B$6*Assumptions!$B$7^(A42-1)/Assumptions!$B$12)*IF(B42="BOSS",Assumptions!$B$13,1)</f>
        <v>105924450.564006</v>
      </c>
      <c r="E42" s="6" t="n">
        <f aca="false">D42*IF(B42="BOSS",1,Assumptions!$B$11)</f>
        <v>105924450.564006</v>
      </c>
    </row>
    <row r="43" customFormat="false" ht="15" hidden="false" customHeight="true" outlineLevel="0" collapsed="false">
      <c r="A43" s="3" t="n">
        <v>41</v>
      </c>
      <c r="B43" s="3" t="str">
        <f aca="false">IF(MOD(A43,Assumptions!$B$8)=0,"BOSS","")</f>
        <v/>
      </c>
      <c r="C43" s="5" t="n">
        <f aca="false">Assumptions!$B$6*Assumptions!$B$7^(A43-1)*IF(B43="BOSS",Assumptions!$B$9,1)</f>
        <v>410457245.935525</v>
      </c>
      <c r="D43" s="5" t="n">
        <f aca="false">(Assumptions!$B$6*Assumptions!$B$7^(A43-1)/Assumptions!$B$12)*IF(B43="BOSS",Assumptions!$B$13,1)</f>
        <v>16418289.837421</v>
      </c>
      <c r="E43" s="6" t="n">
        <f aca="false">D43*IF(B43="BOSS",1,Assumptions!$B$11)</f>
        <v>164182898.37421</v>
      </c>
    </row>
    <row r="44" customFormat="false" ht="15" hidden="false" customHeight="true" outlineLevel="0" collapsed="false">
      <c r="A44" s="3" t="n">
        <v>42</v>
      </c>
      <c r="B44" s="3" t="str">
        <f aca="false">IF(MOD(A44,Assumptions!$B$8)=0,"BOSS","")</f>
        <v/>
      </c>
      <c r="C44" s="5" t="n">
        <f aca="false">Assumptions!$B$6*Assumptions!$B$7^(A44-1)*IF(B44="BOSS",Assumptions!$B$9,1)</f>
        <v>636208731.200063</v>
      </c>
      <c r="D44" s="5" t="n">
        <f aca="false">(Assumptions!$B$6*Assumptions!$B$7^(A44-1)/Assumptions!$B$12)*IF(B44="BOSS",Assumptions!$B$13,1)</f>
        <v>25448349.2480025</v>
      </c>
      <c r="E44" s="6" t="n">
        <f aca="false">D44*IF(B44="BOSS",1,Assumptions!$B$11)</f>
        <v>254483492.480025</v>
      </c>
    </row>
    <row r="45" customFormat="false" ht="15" hidden="false" customHeight="true" outlineLevel="0" collapsed="false">
      <c r="A45" s="3" t="n">
        <v>43</v>
      </c>
      <c r="B45" s="3" t="str">
        <f aca="false">IF(MOD(A45,Assumptions!$B$8)=0,"BOSS","")</f>
        <v/>
      </c>
      <c r="C45" s="5" t="n">
        <f aca="false">Assumptions!$B$6*Assumptions!$B$7^(A45-1)*IF(B45="BOSS",Assumptions!$B$9,1)</f>
        <v>986123533.360098</v>
      </c>
      <c r="D45" s="5" t="n">
        <f aca="false">(Assumptions!$B$6*Assumptions!$B$7^(A45-1)/Assumptions!$B$12)*IF(B45="BOSS",Assumptions!$B$13,1)</f>
        <v>39444941.3344039</v>
      </c>
      <c r="E45" s="6" t="n">
        <f aca="false">D45*IF(B45="BOSS",1,Assumptions!$B$11)</f>
        <v>394449413.344039</v>
      </c>
    </row>
    <row r="46" customFormat="false" ht="15" hidden="false" customHeight="true" outlineLevel="0" collapsed="false">
      <c r="A46" s="3" t="n">
        <v>44</v>
      </c>
      <c r="B46" s="3" t="str">
        <f aca="false">IF(MOD(A46,Assumptions!$B$8)=0,"BOSS","")</f>
        <v/>
      </c>
      <c r="C46" s="5" t="n">
        <f aca="false">Assumptions!$B$6*Assumptions!$B$7^(A46-1)*IF(B46="BOSS",Assumptions!$B$9,1)</f>
        <v>1528491476.70815</v>
      </c>
      <c r="D46" s="5" t="n">
        <f aca="false">(Assumptions!$B$6*Assumptions!$B$7^(A46-1)/Assumptions!$B$12)*IF(B46="BOSS",Assumptions!$B$13,1)</f>
        <v>61139659.0683261</v>
      </c>
      <c r="E46" s="6" t="n">
        <f aca="false">D46*IF(B46="BOSS",1,Assumptions!$B$11)</f>
        <v>611396590.683261</v>
      </c>
    </row>
    <row r="47" customFormat="false" ht="15" hidden="false" customHeight="true" outlineLevel="0" collapsed="false">
      <c r="A47" s="3" t="n">
        <v>45</v>
      </c>
      <c r="B47" s="3" t="str">
        <f aca="false">IF(MOD(A47,Assumptions!$B$8)=0,"BOSS","")</f>
        <v>BOSS</v>
      </c>
      <c r="C47" s="5" t="n">
        <f aca="false">Assumptions!$B$6*Assumptions!$B$7^(A47-1)*IF(B47="BOSS",Assumptions!$B$9,1)</f>
        <v>18953294311.1811</v>
      </c>
      <c r="D47" s="5" t="n">
        <f aca="false">(Assumptions!$B$6*Assumptions!$B$7^(A47-1)/Assumptions!$B$12)*IF(B47="BOSS",Assumptions!$B$13,1)</f>
        <v>947664715.559054</v>
      </c>
      <c r="E47" s="6" t="n">
        <f aca="false">D47*IF(B47="BOSS",1,Assumptions!$B$11)</f>
        <v>947664715.559054</v>
      </c>
    </row>
    <row r="48" customFormat="false" ht="15" hidden="false" customHeight="true" outlineLevel="0" collapsed="false">
      <c r="A48" s="3" t="n">
        <v>46</v>
      </c>
      <c r="B48" s="3" t="str">
        <f aca="false">IF(MOD(A48,Assumptions!$B$8)=0,"BOSS","")</f>
        <v/>
      </c>
      <c r="C48" s="5" t="n">
        <f aca="false">Assumptions!$B$6*Assumptions!$B$7^(A48-1)*IF(B48="BOSS",Assumptions!$B$9,1)</f>
        <v>3672200772.79134</v>
      </c>
      <c r="D48" s="5" t="n">
        <f aca="false">(Assumptions!$B$6*Assumptions!$B$7^(A48-1)/Assumptions!$B$12)*IF(B48="BOSS",Assumptions!$B$13,1)</f>
        <v>146888030.911653</v>
      </c>
      <c r="E48" s="6" t="n">
        <f aca="false">D48*IF(B48="BOSS",1,Assumptions!$B$11)</f>
        <v>1468880309.11653</v>
      </c>
    </row>
    <row r="49" customFormat="false" ht="15" hidden="false" customHeight="true" outlineLevel="0" collapsed="false">
      <c r="A49" s="3" t="n">
        <v>47</v>
      </c>
      <c r="B49" s="3" t="str">
        <f aca="false">IF(MOD(A49,Assumptions!$B$8)=0,"BOSS","")</f>
        <v/>
      </c>
      <c r="C49" s="5" t="n">
        <f aca="false">Assumptions!$B$6*Assumptions!$B$7^(A49-1)*IF(B49="BOSS",Assumptions!$B$9,1)</f>
        <v>5691911197.82657</v>
      </c>
      <c r="D49" s="5" t="n">
        <f aca="false">(Assumptions!$B$6*Assumptions!$B$7^(A49-1)/Assumptions!$B$12)*IF(B49="BOSS",Assumptions!$B$13,1)</f>
        <v>227676447.913063</v>
      </c>
      <c r="E49" s="6" t="n">
        <f aca="false">D49*IF(B49="BOSS",1,Assumptions!$B$11)</f>
        <v>2276764479.13063</v>
      </c>
    </row>
    <row r="50" customFormat="false" ht="15" hidden="false" customHeight="true" outlineLevel="0" collapsed="false">
      <c r="A50" s="3" t="n">
        <v>48</v>
      </c>
      <c r="B50" s="3" t="str">
        <f aca="false">IF(MOD(A50,Assumptions!$B$8)=0,"BOSS","")</f>
        <v/>
      </c>
      <c r="C50" s="5" t="n">
        <f aca="false">Assumptions!$B$6*Assumptions!$B$7^(A50-1)*IF(B50="BOSS",Assumptions!$B$9,1)</f>
        <v>8822462356.63119</v>
      </c>
      <c r="D50" s="5" t="n">
        <f aca="false">(Assumptions!$B$6*Assumptions!$B$7^(A50-1)/Assumptions!$B$12)*IF(B50="BOSS",Assumptions!$B$13,1)</f>
        <v>352898494.265247</v>
      </c>
      <c r="E50" s="6" t="n">
        <f aca="false">D50*IF(B50="BOSS",1,Assumptions!$B$11)</f>
        <v>3528984942.65247</v>
      </c>
    </row>
    <row r="51" customFormat="false" ht="15" hidden="false" customHeight="true" outlineLevel="0" collapsed="false">
      <c r="A51" s="3" t="n">
        <v>49</v>
      </c>
      <c r="B51" s="3" t="str">
        <f aca="false">IF(MOD(A51,Assumptions!$B$8)=0,"BOSS","")</f>
        <v/>
      </c>
      <c r="C51" s="5" t="n">
        <f aca="false">Assumptions!$B$6*Assumptions!$B$7^(A51-1)*IF(B51="BOSS",Assumptions!$B$9,1)</f>
        <v>13674816652.7783</v>
      </c>
      <c r="D51" s="5" t="n">
        <f aca="false">(Assumptions!$B$6*Assumptions!$B$7^(A51-1)/Assumptions!$B$12)*IF(B51="BOSS",Assumptions!$B$13,1)</f>
        <v>546992666.111134</v>
      </c>
      <c r="E51" s="6" t="n">
        <f aca="false">D51*IF(B51="BOSS",1,Assumptions!$B$11)</f>
        <v>5469926661.11134</v>
      </c>
    </row>
    <row r="52" customFormat="false" ht="15" hidden="false" customHeight="true" outlineLevel="0" collapsed="false">
      <c r="A52" s="3" t="n">
        <v>50</v>
      </c>
      <c r="B52" s="3" t="str">
        <f aca="false">IF(MOD(A52,Assumptions!$B$8)=0,"BOSS","")</f>
        <v>BOSS</v>
      </c>
      <c r="C52" s="5" t="n">
        <f aca="false">Assumptions!$B$6*Assumptions!$B$7^(A52-1)*IF(B52="BOSS",Assumptions!$B$9,1)</f>
        <v>169567726494.451</v>
      </c>
      <c r="D52" s="5" t="n">
        <f aca="false">(Assumptions!$B$6*Assumptions!$B$7^(A52-1)/Assumptions!$B$12)*IF(B52="BOSS",Assumptions!$B$13,1)</f>
        <v>8478386324.72257</v>
      </c>
      <c r="E52" s="6" t="n">
        <f aca="false">D52*IF(B52="BOSS",1,Assumptions!$B$11)</f>
        <v>8478386324.72257</v>
      </c>
    </row>
    <row r="53" customFormat="false" ht="15" hidden="false" customHeight="true" outlineLevel="0" collapsed="false">
      <c r="A53" s="3" t="n">
        <v>51</v>
      </c>
      <c r="B53" s="3" t="str">
        <f aca="false">IF(MOD(A53,Assumptions!$B$8)=0,"BOSS","")</f>
        <v/>
      </c>
      <c r="C53" s="5" t="n">
        <f aca="false">Assumptions!$B$6*Assumptions!$B$7^(A53-1)*IF(B53="BOSS",Assumptions!$B$9,1)</f>
        <v>32853747008.3</v>
      </c>
      <c r="D53" s="5" t="n">
        <f aca="false">(Assumptions!$B$6*Assumptions!$B$7^(A53-1)/Assumptions!$B$12)*IF(B53="BOSS",Assumptions!$B$13,1)</f>
        <v>1314149880.332</v>
      </c>
      <c r="E53" s="6" t="n">
        <f aca="false">D53*IF(B53="BOSS",1,Assumptions!$B$11)</f>
        <v>13141498803.32</v>
      </c>
    </row>
    <row r="54" customFormat="false" ht="15" hidden="false" customHeight="true" outlineLevel="0" collapsed="false">
      <c r="A54" s="3" t="n">
        <v>52</v>
      </c>
      <c r="B54" s="3" t="str">
        <f aca="false">IF(MOD(A54,Assumptions!$B$8)=0,"BOSS","")</f>
        <v/>
      </c>
      <c r="C54" s="5" t="n">
        <f aca="false">Assumptions!$B$6*Assumptions!$B$7^(A54-1)*IF(B54="BOSS",Assumptions!$B$9,1)</f>
        <v>50923307862.8649</v>
      </c>
      <c r="D54" s="5" t="n">
        <f aca="false">(Assumptions!$B$6*Assumptions!$B$7^(A54-1)/Assumptions!$B$12)*IF(B54="BOSS",Assumptions!$B$13,1)</f>
        <v>2036932314.5146</v>
      </c>
      <c r="E54" s="6" t="n">
        <f aca="false">D54*IF(B54="BOSS",1,Assumptions!$B$11)</f>
        <v>20369323145.146</v>
      </c>
    </row>
    <row r="55" customFormat="false" ht="15" hidden="false" customHeight="true" outlineLevel="0" collapsed="false">
      <c r="A55" s="3" t="n">
        <v>53</v>
      </c>
      <c r="B55" s="3" t="str">
        <f aca="false">IF(MOD(A55,Assumptions!$B$8)=0,"BOSS","")</f>
        <v/>
      </c>
      <c r="C55" s="5" t="n">
        <f aca="false">Assumptions!$B$6*Assumptions!$B$7^(A55-1)*IF(B55="BOSS",Assumptions!$B$9,1)</f>
        <v>78931127187.4407</v>
      </c>
      <c r="D55" s="5" t="n">
        <f aca="false">(Assumptions!$B$6*Assumptions!$B$7^(A55-1)/Assumptions!$B$12)*IF(B55="BOSS",Assumptions!$B$13,1)</f>
        <v>3157245087.49763</v>
      </c>
      <c r="E55" s="6" t="n">
        <f aca="false">D55*IF(B55="BOSS",1,Assumptions!$B$11)</f>
        <v>31572450874.9763</v>
      </c>
    </row>
    <row r="56" customFormat="false" ht="15" hidden="false" customHeight="true" outlineLevel="0" collapsed="false">
      <c r="A56" s="3" t="n">
        <v>54</v>
      </c>
      <c r="B56" s="3" t="str">
        <f aca="false">IF(MOD(A56,Assumptions!$B$8)=0,"BOSS","")</f>
        <v/>
      </c>
      <c r="C56" s="5" t="n">
        <f aca="false">Assumptions!$B$6*Assumptions!$B$7^(A56-1)*IF(B56="BOSS",Assumptions!$B$9,1)</f>
        <v>122343247140.533</v>
      </c>
      <c r="D56" s="5" t="n">
        <f aca="false">(Assumptions!$B$6*Assumptions!$B$7^(A56-1)/Assumptions!$B$12)*IF(B56="BOSS",Assumptions!$B$13,1)</f>
        <v>4893729885.62132</v>
      </c>
      <c r="E56" s="6" t="n">
        <f aca="false">D56*IF(B56="BOSS",1,Assumptions!$B$11)</f>
        <v>48937298856.2132</v>
      </c>
    </row>
    <row r="57" customFormat="false" ht="15" hidden="false" customHeight="true" outlineLevel="0" collapsed="false">
      <c r="A57" s="3" t="n">
        <v>55</v>
      </c>
      <c r="B57" s="3" t="str">
        <f aca="false">IF(MOD(A57,Assumptions!$B$8)=0,"BOSS","")</f>
        <v>BOSS</v>
      </c>
      <c r="C57" s="5" t="n">
        <f aca="false">Assumptions!$B$6*Assumptions!$B$7^(A57-1)*IF(B57="BOSS",Assumptions!$B$9,1)</f>
        <v>1517056264542.61</v>
      </c>
      <c r="D57" s="5" t="n">
        <f aca="false">(Assumptions!$B$6*Assumptions!$B$7^(A57-1)/Assumptions!$B$12)*IF(B57="BOSS",Assumptions!$B$13,1)</f>
        <v>75852813227.1305</v>
      </c>
      <c r="E57" s="6" t="n">
        <f aca="false">D57*IF(B57="BOSS",1,Assumptions!$B$11)</f>
        <v>75852813227.1305</v>
      </c>
    </row>
    <row r="58" customFormat="false" ht="15" hidden="false" customHeight="true" outlineLevel="0" collapsed="false">
      <c r="A58" s="3" t="n">
        <v>56</v>
      </c>
      <c r="B58" s="3" t="str">
        <f aca="false">IF(MOD(A58,Assumptions!$B$8)=0,"BOSS","")</f>
        <v/>
      </c>
      <c r="C58" s="5" t="n">
        <f aca="false">Assumptions!$B$6*Assumptions!$B$7^(A58-1)*IF(B58="BOSS",Assumptions!$B$9,1)</f>
        <v>293929651255.131</v>
      </c>
      <c r="D58" s="5" t="n">
        <f aca="false">(Assumptions!$B$6*Assumptions!$B$7^(A58-1)/Assumptions!$B$12)*IF(B58="BOSS",Assumptions!$B$13,1)</f>
        <v>11757186050.2052</v>
      </c>
      <c r="E58" s="6" t="n">
        <f aca="false">D58*IF(B58="BOSS",1,Assumptions!$B$11)</f>
        <v>117571860502.052</v>
      </c>
    </row>
    <row r="59" customFormat="false" ht="15" hidden="false" customHeight="true" outlineLevel="0" collapsed="false">
      <c r="A59" s="3" t="n">
        <v>57</v>
      </c>
      <c r="B59" s="3" t="str">
        <f aca="false">IF(MOD(A59,Assumptions!$B$8)=0,"BOSS","")</f>
        <v/>
      </c>
      <c r="C59" s="5" t="n">
        <f aca="false">Assumptions!$B$6*Assumptions!$B$7^(A59-1)*IF(B59="BOSS",Assumptions!$B$9,1)</f>
        <v>455590959445.452</v>
      </c>
      <c r="D59" s="5" t="n">
        <f aca="false">(Assumptions!$B$6*Assumptions!$B$7^(A59-1)/Assumptions!$B$12)*IF(B59="BOSS",Assumptions!$B$13,1)</f>
        <v>18223638377.8181</v>
      </c>
      <c r="E59" s="6" t="n">
        <f aca="false">D59*IF(B59="BOSS",1,Assumptions!$B$11)</f>
        <v>182236383778.181</v>
      </c>
    </row>
    <row r="60" customFormat="false" ht="15" hidden="false" customHeight="true" outlineLevel="0" collapsed="false">
      <c r="A60" s="3" t="n">
        <v>58</v>
      </c>
      <c r="B60" s="3" t="str">
        <f aca="false">IF(MOD(A60,Assumptions!$B$8)=0,"BOSS","")</f>
        <v/>
      </c>
      <c r="C60" s="5" t="n">
        <f aca="false">Assumptions!$B$6*Assumptions!$B$7^(A60-1)*IF(B60="BOSS",Assumptions!$B$9,1)</f>
        <v>706165987140.451</v>
      </c>
      <c r="D60" s="5" t="n">
        <f aca="false">(Assumptions!$B$6*Assumptions!$B$7^(A60-1)/Assumptions!$B$12)*IF(B60="BOSS",Assumptions!$B$13,1)</f>
        <v>28246639485.618</v>
      </c>
      <c r="E60" s="6" t="n">
        <f aca="false">D60*IF(B60="BOSS",1,Assumptions!$B$11)</f>
        <v>282466394856.181</v>
      </c>
    </row>
    <row r="61" customFormat="false" ht="15" hidden="false" customHeight="true" outlineLevel="0" collapsed="false">
      <c r="A61" s="3" t="n">
        <v>59</v>
      </c>
      <c r="B61" s="3" t="str">
        <f aca="false">IF(MOD(A61,Assumptions!$B$8)=0,"BOSS","")</f>
        <v/>
      </c>
      <c r="C61" s="5" t="n">
        <f aca="false">Assumptions!$B$6*Assumptions!$B$7^(A61-1)*IF(B61="BOSS",Assumptions!$B$9,1)</f>
        <v>1094557280067.7</v>
      </c>
      <c r="D61" s="5" t="n">
        <f aca="false">(Assumptions!$B$6*Assumptions!$B$7^(A61-1)/Assumptions!$B$12)*IF(B61="BOSS",Assumptions!$B$13,1)</f>
        <v>43782291202.708</v>
      </c>
      <c r="E61" s="6" t="n">
        <f aca="false">D61*IF(B61="BOSS",1,Assumptions!$B$11)</f>
        <v>437822912027.08</v>
      </c>
    </row>
    <row r="62" customFormat="false" ht="15" hidden="false" customHeight="true" outlineLevel="0" collapsed="false">
      <c r="A62" s="3" t="n">
        <v>60</v>
      </c>
      <c r="B62" s="3" t="str">
        <f aca="false">IF(MOD(A62,Assumptions!$B$8)=0,"BOSS","")</f>
        <v>BOSS</v>
      </c>
      <c r="C62" s="5" t="n">
        <f aca="false">Assumptions!$B$6*Assumptions!$B$7^(A62-1)*IF(B62="BOSS",Assumptions!$B$9,1)</f>
        <v>13572510272839.5</v>
      </c>
      <c r="D62" s="5" t="n">
        <f aca="false">(Assumptions!$B$6*Assumptions!$B$7^(A62-1)/Assumptions!$B$12)*IF(B62="BOSS",Assumptions!$B$13,1)</f>
        <v>678625513641.974</v>
      </c>
      <c r="E62" s="6" t="n">
        <f aca="false">D62*IF(B62="BOSS",1,Assumptions!$B$11)</f>
        <v>678625513641.974</v>
      </c>
    </row>
    <row r="63" customFormat="false" ht="15" hidden="false" customHeight="true" outlineLevel="0" collapsed="false">
      <c r="A63" s="3" t="n">
        <v>61</v>
      </c>
      <c r="B63" s="3" t="str">
        <f aca="false">IF(MOD(A63,Assumptions!$B$8)=0,"BOSS","")</f>
        <v/>
      </c>
      <c r="C63" s="5" t="n">
        <f aca="false">Assumptions!$B$6*Assumptions!$B$7^(A63-1)*IF(B63="BOSS",Assumptions!$B$9,1)</f>
        <v>2629673865362.65</v>
      </c>
      <c r="D63" s="5" t="n">
        <f aca="false">(Assumptions!$B$6*Assumptions!$B$7^(A63-1)/Assumptions!$B$12)*IF(B63="BOSS",Assumptions!$B$13,1)</f>
        <v>105186954614.506</v>
      </c>
      <c r="E63" s="6" t="n">
        <f aca="false">D63*IF(B63="BOSS",1,Assumptions!$B$11)</f>
        <v>1051869546145.06</v>
      </c>
    </row>
    <row r="64" customFormat="false" ht="15" hidden="false" customHeight="true" outlineLevel="0" collapsed="false">
      <c r="A64" s="3" t="n">
        <v>62</v>
      </c>
      <c r="B64" s="3" t="str">
        <f aca="false">IF(MOD(A64,Assumptions!$B$8)=0,"BOSS","")</f>
        <v/>
      </c>
      <c r="C64" s="5" t="n">
        <f aca="false">Assumptions!$B$6*Assumptions!$B$7^(A64-1)*IF(B64="BOSS",Assumptions!$B$9,1)</f>
        <v>4075994491312.11</v>
      </c>
      <c r="D64" s="5" t="n">
        <f aca="false">(Assumptions!$B$6*Assumptions!$B$7^(A64-1)/Assumptions!$B$12)*IF(B64="BOSS",Assumptions!$B$13,1)</f>
        <v>163039779652.484</v>
      </c>
      <c r="E64" s="6" t="n">
        <f aca="false">D64*IF(B64="BOSS",1,Assumptions!$B$11)</f>
        <v>1630397796524.84</v>
      </c>
    </row>
    <row r="65" customFormat="false" ht="15" hidden="false" customHeight="true" outlineLevel="0" collapsed="false">
      <c r="A65" s="3" t="n">
        <v>63</v>
      </c>
      <c r="B65" s="3" t="str">
        <f aca="false">IF(MOD(A65,Assumptions!$B$8)=0,"BOSS","")</f>
        <v/>
      </c>
      <c r="C65" s="5" t="n">
        <f aca="false">Assumptions!$B$6*Assumptions!$B$7^(A65-1)*IF(B65="BOSS",Assumptions!$B$9,1)</f>
        <v>6317791461533.76</v>
      </c>
      <c r="D65" s="5" t="n">
        <f aca="false">(Assumptions!$B$6*Assumptions!$B$7^(A65-1)/Assumptions!$B$12)*IF(B65="BOSS",Assumptions!$B$13,1)</f>
        <v>252711658461.35</v>
      </c>
      <c r="E65" s="6" t="n">
        <f aca="false">D65*IF(B65="BOSS",1,Assumptions!$B$11)</f>
        <v>2527116584613.51</v>
      </c>
    </row>
    <row r="66" customFormat="false" ht="15" hidden="false" customHeight="true" outlineLevel="0" collapsed="false">
      <c r="A66" s="3" t="n">
        <v>64</v>
      </c>
      <c r="B66" s="3" t="str">
        <f aca="false">IF(MOD(A66,Assumptions!$B$8)=0,"BOSS","")</f>
        <v/>
      </c>
      <c r="C66" s="5" t="n">
        <f aca="false">Assumptions!$B$6*Assumptions!$B$7^(A66-1)*IF(B66="BOSS",Assumptions!$B$9,1)</f>
        <v>9792576765377.33</v>
      </c>
      <c r="D66" s="5" t="n">
        <f aca="false">(Assumptions!$B$6*Assumptions!$B$7^(A66-1)/Assumptions!$B$12)*IF(B66="BOSS",Assumptions!$B$13,1)</f>
        <v>391703070615.093</v>
      </c>
      <c r="E66" s="6" t="n">
        <f aca="false">D66*IF(B66="BOSS",1,Assumptions!$B$11)</f>
        <v>3917030706150.93</v>
      </c>
    </row>
    <row r="67" customFormat="false" ht="15" hidden="false" customHeight="true" outlineLevel="0" collapsed="false">
      <c r="A67" s="3" t="n">
        <v>65</v>
      </c>
      <c r="B67" s="3" t="str">
        <f aca="false">IF(MOD(A67,Assumptions!$B$8)=0,"BOSS","")</f>
        <v>BOSS</v>
      </c>
      <c r="C67" s="5" t="n">
        <f aca="false">Assumptions!$B$6*Assumptions!$B$7^(A67-1)*IF(B67="BOSS",Assumptions!$B$9,1)</f>
        <v>121427951890679</v>
      </c>
      <c r="D67" s="5" t="n">
        <f aca="false">(Assumptions!$B$6*Assumptions!$B$7^(A67-1)/Assumptions!$B$12)*IF(B67="BOSS",Assumptions!$B$13,1)</f>
        <v>6071397594533.95</v>
      </c>
      <c r="E67" s="6" t="n">
        <f aca="false">D67*IF(B67="BOSS",1,Assumptions!$B$11)</f>
        <v>6071397594533.95</v>
      </c>
    </row>
    <row r="68" customFormat="false" ht="15" hidden="false" customHeight="true" outlineLevel="0" collapsed="false">
      <c r="A68" s="3" t="n">
        <v>66</v>
      </c>
      <c r="B68" s="3" t="str">
        <f aca="false">IF(MOD(A68,Assumptions!$B$8)=0,"BOSS","")</f>
        <v/>
      </c>
      <c r="C68" s="5" t="n">
        <f aca="false">Assumptions!$B$6*Assumptions!$B$7^(A68-1)*IF(B68="BOSS",Assumptions!$B$9,1)</f>
        <v>23526665678819</v>
      </c>
      <c r="D68" s="5" t="n">
        <f aca="false">(Assumptions!$B$6*Assumptions!$B$7^(A68-1)/Assumptions!$B$12)*IF(B68="BOSS",Assumptions!$B$13,1)</f>
        <v>941066627152.762</v>
      </c>
      <c r="E68" s="6" t="n">
        <f aca="false">D68*IF(B68="BOSS",1,Assumptions!$B$11)</f>
        <v>9410666271527.62</v>
      </c>
    </row>
    <row r="69" customFormat="false" ht="15" hidden="false" customHeight="true" outlineLevel="0" collapsed="false">
      <c r="A69" s="3" t="n">
        <v>67</v>
      </c>
      <c r="B69" s="3" t="str">
        <f aca="false">IF(MOD(A69,Assumptions!$B$8)=0,"BOSS","")</f>
        <v/>
      </c>
      <c r="C69" s="5" t="n">
        <f aca="false">Assumptions!$B$6*Assumptions!$B$7^(A69-1)*IF(B69="BOSS",Assumptions!$B$9,1)</f>
        <v>36466331802169.5</v>
      </c>
      <c r="D69" s="5" t="n">
        <f aca="false">(Assumptions!$B$6*Assumptions!$B$7^(A69-1)/Assumptions!$B$12)*IF(B69="BOSS",Assumptions!$B$13,1)</f>
        <v>1458653272086.78</v>
      </c>
      <c r="E69" s="6" t="n">
        <f aca="false">D69*IF(B69="BOSS",1,Assumptions!$B$11)</f>
        <v>14586532720867.8</v>
      </c>
    </row>
    <row r="70" customFormat="false" ht="15" hidden="false" customHeight="true" outlineLevel="0" collapsed="false">
      <c r="A70" s="3" t="n">
        <v>68</v>
      </c>
      <c r="B70" s="3" t="str">
        <f aca="false">IF(MOD(A70,Assumptions!$B$8)=0,"BOSS","")</f>
        <v/>
      </c>
      <c r="C70" s="5" t="n">
        <f aca="false">Assumptions!$B$6*Assumptions!$B$7^(A70-1)*IF(B70="BOSS",Assumptions!$B$9,1)</f>
        <v>56522814293362.8</v>
      </c>
      <c r="D70" s="5" t="n">
        <f aca="false">(Assumptions!$B$6*Assumptions!$B$7^(A70-1)/Assumptions!$B$12)*IF(B70="BOSS",Assumptions!$B$13,1)</f>
        <v>2260912571734.51</v>
      </c>
      <c r="E70" s="6" t="n">
        <f aca="false">D70*IF(B70="BOSS",1,Assumptions!$B$11)</f>
        <v>22609125717345.1</v>
      </c>
    </row>
    <row r="71" customFormat="false" ht="15" hidden="false" customHeight="true" outlineLevel="0" collapsed="false">
      <c r="A71" s="3" t="n">
        <v>69</v>
      </c>
      <c r="B71" s="3" t="str">
        <f aca="false">IF(MOD(A71,Assumptions!$B$8)=0,"BOSS","")</f>
        <v/>
      </c>
      <c r="C71" s="5" t="n">
        <f aca="false">Assumptions!$B$6*Assumptions!$B$7^(A71-1)*IF(B71="BOSS",Assumptions!$B$9,1)</f>
        <v>87610362154712.3</v>
      </c>
      <c r="D71" s="5" t="n">
        <f aca="false">(Assumptions!$B$6*Assumptions!$B$7^(A71-1)/Assumptions!$B$12)*IF(B71="BOSS",Assumptions!$B$13,1)</f>
        <v>3504414486188.49</v>
      </c>
      <c r="E71" s="6" t="n">
        <f aca="false">D71*IF(B71="BOSS",1,Assumptions!$B$11)</f>
        <v>35044144861884.9</v>
      </c>
    </row>
    <row r="72" customFormat="false" ht="15" hidden="false" customHeight="true" outlineLevel="0" collapsed="false">
      <c r="A72" s="3" t="n">
        <v>70</v>
      </c>
      <c r="B72" s="3" t="str">
        <f aca="false">IF(MOD(A72,Assumptions!$B$8)=0,"BOSS","")</f>
        <v>BOSS</v>
      </c>
      <c r="C72" s="5" t="n">
        <f aca="false">Assumptions!$B$6*Assumptions!$B$7^(A72-1)*IF(B72="BOSS",Assumptions!$B$9,1)</f>
        <v>1086368490718430</v>
      </c>
      <c r="D72" s="5" t="n">
        <f aca="false">(Assumptions!$B$6*Assumptions!$B$7^(A72-1)/Assumptions!$B$12)*IF(B72="BOSS",Assumptions!$B$13,1)</f>
        <v>54318424535921.6</v>
      </c>
      <c r="E72" s="6" t="n">
        <f aca="false">D72*IF(B72="BOSS",1,Assumptions!$B$11)</f>
        <v>54318424535921.6</v>
      </c>
    </row>
    <row r="73" customFormat="false" ht="15" hidden="false" customHeight="true" outlineLevel="0" collapsed="false">
      <c r="A73" s="3" t="n">
        <v>71</v>
      </c>
      <c r="B73" s="3" t="str">
        <f aca="false">IF(MOD(A73,Assumptions!$B$8)=0,"BOSS","")</f>
        <v/>
      </c>
      <c r="C73" s="5" t="n">
        <f aca="false">Assumptions!$B$6*Assumptions!$B$7^(A73-1)*IF(B73="BOSS",Assumptions!$B$9,1)</f>
        <v>210483895076696</v>
      </c>
      <c r="D73" s="5" t="n">
        <f aca="false">(Assumptions!$B$6*Assumptions!$B$7^(A73-1)/Assumptions!$B$12)*IF(B73="BOSS",Assumptions!$B$13,1)</f>
        <v>8419355803067.85</v>
      </c>
      <c r="E73" s="6" t="n">
        <f aca="false">D73*IF(B73="BOSS",1,Assumptions!$B$11)</f>
        <v>84193558030678.5</v>
      </c>
    </row>
    <row r="74" customFormat="false" ht="15" hidden="false" customHeight="true" outlineLevel="0" collapsed="false">
      <c r="A74" s="3" t="n">
        <v>72</v>
      </c>
      <c r="B74" s="3" t="str">
        <f aca="false">IF(MOD(A74,Assumptions!$B$8)=0,"BOSS","")</f>
        <v/>
      </c>
      <c r="C74" s="5" t="n">
        <f aca="false">Assumptions!$B$6*Assumptions!$B$7^(A74-1)*IF(B74="BOSS",Assumptions!$B$9,1)</f>
        <v>326250037368879</v>
      </c>
      <c r="D74" s="5" t="n">
        <f aca="false">(Assumptions!$B$6*Assumptions!$B$7^(A74-1)/Assumptions!$B$12)*IF(B74="BOSS",Assumptions!$B$13,1)</f>
        <v>13050001494755.2</v>
      </c>
      <c r="E74" s="6" t="n">
        <f aca="false">D74*IF(B74="BOSS",1,Assumptions!$B$11)</f>
        <v>130500014947552</v>
      </c>
    </row>
    <row r="75" customFormat="false" ht="15" hidden="false" customHeight="true" outlineLevel="0" collapsed="false">
      <c r="A75" s="3" t="n">
        <v>73</v>
      </c>
      <c r="B75" s="3" t="str">
        <f aca="false">IF(MOD(A75,Assumptions!$B$8)=0,"BOSS","")</f>
        <v/>
      </c>
      <c r="C75" s="5" t="n">
        <f aca="false">Assumptions!$B$6*Assumptions!$B$7^(A75-1)*IF(B75="BOSS",Assumptions!$B$9,1)</f>
        <v>505687557921763</v>
      </c>
      <c r="D75" s="5" t="n">
        <f aca="false">(Assumptions!$B$6*Assumptions!$B$7^(A75-1)/Assumptions!$B$12)*IF(B75="BOSS",Assumptions!$B$13,1)</f>
        <v>20227502316870.5</v>
      </c>
      <c r="E75" s="6" t="n">
        <f aca="false">D75*IF(B75="BOSS",1,Assumptions!$B$11)</f>
        <v>202275023168705</v>
      </c>
    </row>
    <row r="76" customFormat="false" ht="15" hidden="false" customHeight="true" outlineLevel="0" collapsed="false">
      <c r="A76" s="3" t="n">
        <v>74</v>
      </c>
      <c r="B76" s="3" t="str">
        <f aca="false">IF(MOD(A76,Assumptions!$B$8)=0,"BOSS","")</f>
        <v/>
      </c>
      <c r="C76" s="5" t="n">
        <f aca="false">Assumptions!$B$6*Assumptions!$B$7^(A76-1)*IF(B76="BOSS",Assumptions!$B$9,1)</f>
        <v>783815714778732</v>
      </c>
      <c r="D76" s="5" t="n">
        <f aca="false">(Assumptions!$B$6*Assumptions!$B$7^(A76-1)/Assumptions!$B$12)*IF(B76="BOSS",Assumptions!$B$13,1)</f>
        <v>31352628591149.3</v>
      </c>
      <c r="E76" s="6" t="n">
        <f aca="false">D76*IF(B76="BOSS",1,Assumptions!$B$11)</f>
        <v>313526285911493</v>
      </c>
    </row>
    <row r="77" customFormat="false" ht="15" hidden="false" customHeight="true" outlineLevel="0" collapsed="false">
      <c r="A77" s="3" t="n">
        <v>75</v>
      </c>
      <c r="B77" s="3" t="str">
        <f aca="false">IF(MOD(A77,Assumptions!$B$8)=0,"BOSS","")</f>
        <v>BOSS</v>
      </c>
      <c r="C77" s="5" t="n">
        <f aca="false">Assumptions!$B$6*Assumptions!$B$7^(A77-1)*IF(B77="BOSS",Assumptions!$B$9,1)</f>
        <v>9719314863256280</v>
      </c>
      <c r="D77" s="5" t="n">
        <f aca="false">(Assumptions!$B$6*Assumptions!$B$7^(A77-1)/Assumptions!$B$12)*IF(B77="BOSS",Assumptions!$B$13,1)</f>
        <v>485965743162814</v>
      </c>
      <c r="E77" s="6" t="n">
        <f aca="false">D77*IF(B77="BOSS",1,Assumptions!$B$11)</f>
        <v>485965743162814</v>
      </c>
    </row>
    <row r="78" customFormat="false" ht="15" hidden="false" customHeight="true" outlineLevel="0" collapsed="false">
      <c r="A78" s="3" t="n">
        <v>76</v>
      </c>
      <c r="B78" s="3" t="str">
        <f aca="false">IF(MOD(A78,Assumptions!$B$8)=0,"BOSS","")</f>
        <v/>
      </c>
      <c r="C78" s="5" t="n">
        <f aca="false">Assumptions!$B$6*Assumptions!$B$7^(A78-1)*IF(B78="BOSS",Assumptions!$B$9,1)</f>
        <v>1883117254755900</v>
      </c>
      <c r="D78" s="5" t="n">
        <f aca="false">(Assumptions!$B$6*Assumptions!$B$7^(A78-1)/Assumptions!$B$12)*IF(B78="BOSS",Assumptions!$B$13,1)</f>
        <v>75324690190236.2</v>
      </c>
      <c r="E78" s="6" t="n">
        <f aca="false">D78*IF(B78="BOSS",1,Assumptions!$B$11)</f>
        <v>753246901902362</v>
      </c>
    </row>
    <row r="79" customFormat="false" ht="15" hidden="false" customHeight="true" outlineLevel="0" collapsed="false">
      <c r="A79" s="3" t="n">
        <v>77</v>
      </c>
      <c r="B79" s="3" t="str">
        <f aca="false">IF(MOD(A79,Assumptions!$B$8)=0,"BOSS","")</f>
        <v/>
      </c>
      <c r="C79" s="5" t="n">
        <f aca="false">Assumptions!$B$6*Assumptions!$B$7^(A79-1)*IF(B79="BOSS",Assumptions!$B$9,1)</f>
        <v>2918831744871652</v>
      </c>
      <c r="D79" s="5" t="n">
        <f aca="false">(Assumptions!$B$6*Assumptions!$B$7^(A79-1)/Assumptions!$B$12)*IF(B79="BOSS",Assumptions!$B$13,1)</f>
        <v>116753269794866</v>
      </c>
      <c r="E79" s="6" t="n">
        <f aca="false">D79*IF(B79="BOSS",1,Assumptions!$B$11)</f>
        <v>1167532697948660</v>
      </c>
    </row>
    <row r="80" customFormat="false" ht="15" hidden="false" customHeight="true" outlineLevel="0" collapsed="false">
      <c r="A80" s="3" t="n">
        <v>78</v>
      </c>
      <c r="B80" s="3" t="str">
        <f aca="false">IF(MOD(A80,Assumptions!$B$8)=0,"BOSS","")</f>
        <v/>
      </c>
      <c r="C80" s="5" t="n">
        <f aca="false">Assumptions!$B$6*Assumptions!$B$7^(A80-1)*IF(B80="BOSS",Assumptions!$B$9,1)</f>
        <v>4524189204551061</v>
      </c>
      <c r="D80" s="5" t="n">
        <f aca="false">(Assumptions!$B$6*Assumptions!$B$7^(A80-1)/Assumptions!$B$12)*IF(B80="BOSS",Assumptions!$B$13,1)</f>
        <v>180967568182042</v>
      </c>
      <c r="E80" s="6" t="n">
        <f aca="false">D80*IF(B80="BOSS",1,Assumptions!$B$11)</f>
        <v>1809675681820420</v>
      </c>
    </row>
    <row r="81" customFormat="false" ht="15" hidden="false" customHeight="true" outlineLevel="0" collapsed="false">
      <c r="A81" s="3" t="n">
        <v>79</v>
      </c>
      <c r="B81" s="3" t="str">
        <f aca="false">IF(MOD(A81,Assumptions!$B$8)=0,"BOSS","")</f>
        <v/>
      </c>
      <c r="C81" s="5" t="n">
        <f aca="false">Assumptions!$B$6*Assumptions!$B$7^(A81-1)*IF(B81="BOSS",Assumptions!$B$9,1)</f>
        <v>7012493267054144</v>
      </c>
      <c r="D81" s="5" t="n">
        <f aca="false">(Assumptions!$B$6*Assumptions!$B$7^(A81-1)/Assumptions!$B$12)*IF(B81="BOSS",Assumptions!$B$13,1)</f>
        <v>280499730682166</v>
      </c>
      <c r="E81" s="6" t="n">
        <f aca="false">D81*IF(B81="BOSS",1,Assumptions!$B$11)</f>
        <v>2804997306821660</v>
      </c>
    </row>
    <row r="82" customFormat="false" ht="15" hidden="false" customHeight="true" outlineLevel="0" collapsed="false">
      <c r="A82" s="3" t="n">
        <v>80</v>
      </c>
      <c r="B82" s="3" t="str">
        <f aca="false">IF(MOD(A82,Assumptions!$B$8)=0,"BOSS","")</f>
        <v>BOSS</v>
      </c>
      <c r="C82" s="5" t="n">
        <f aca="false">Assumptions!$B$6*Assumptions!$B$7^(A82-1)*IF(B82="BOSS",Assumptions!$B$9,1)</f>
        <v>86954916511471400</v>
      </c>
      <c r="D82" s="5" t="n">
        <f aca="false">(Assumptions!$B$6*Assumptions!$B$7^(A82-1)/Assumptions!$B$12)*IF(B82="BOSS",Assumptions!$B$13,1)</f>
        <v>4347745825573570</v>
      </c>
      <c r="E82" s="6" t="n">
        <f aca="false">D82*IF(B82="BOSS",1,Assumptions!$B$11)</f>
        <v>4347745825573570</v>
      </c>
    </row>
    <row r="83" customFormat="false" ht="15" hidden="false" customHeight="true" outlineLevel="0" collapsed="false">
      <c r="A83" s="3" t="n">
        <v>81</v>
      </c>
      <c r="B83" s="3" t="str">
        <f aca="false">IF(MOD(A83,Assumptions!$B$8)=0,"BOSS","")</f>
        <v/>
      </c>
      <c r="C83" s="5" t="n">
        <f aca="false">Assumptions!$B$6*Assumptions!$B$7^(A83-1)*IF(B83="BOSS",Assumptions!$B$9,1)</f>
        <v>16847515074097600</v>
      </c>
      <c r="D83" s="5" t="n">
        <f aca="false">(Assumptions!$B$6*Assumptions!$B$7^(A83-1)/Assumptions!$B$12)*IF(B83="BOSS",Assumptions!$B$13,1)</f>
        <v>673900602963903</v>
      </c>
      <c r="E83" s="6" t="n">
        <f aca="false">D83*IF(B83="BOSS",1,Assumptions!$B$11)</f>
        <v>6739006029639032</v>
      </c>
    </row>
    <row r="84" customFormat="false" ht="15" hidden="false" customHeight="true" outlineLevel="0" collapsed="false">
      <c r="A84" s="3" t="n">
        <v>82</v>
      </c>
      <c r="B84" s="3" t="str">
        <f aca="false">IF(MOD(A84,Assumptions!$B$8)=0,"BOSS","")</f>
        <v/>
      </c>
      <c r="C84" s="5" t="n">
        <f aca="false">Assumptions!$B$6*Assumptions!$B$7^(A84-1)*IF(B84="BOSS",Assumptions!$B$9,1)</f>
        <v>26113648364851300</v>
      </c>
      <c r="D84" s="5" t="n">
        <f aca="false">(Assumptions!$B$6*Assumptions!$B$7^(A84-1)/Assumptions!$B$12)*IF(B84="BOSS",Assumptions!$B$13,1)</f>
        <v>1044545934594050</v>
      </c>
      <c r="E84" s="6" t="n">
        <f aca="false">D84*IF(B84="BOSS",1,Assumptions!$B$11)</f>
        <v>10445459345940500</v>
      </c>
    </row>
    <row r="85" customFormat="false" ht="15" hidden="false" customHeight="true" outlineLevel="0" collapsed="false">
      <c r="A85" s="3" t="n">
        <v>83</v>
      </c>
      <c r="B85" s="3" t="str">
        <f aca="false">IF(MOD(A85,Assumptions!$B$8)=0,"BOSS","")</f>
        <v/>
      </c>
      <c r="C85" s="5" t="n">
        <f aca="false">Assumptions!$B$6*Assumptions!$B$7^(A85-1)*IF(B85="BOSS",Assumptions!$B$9,1)</f>
        <v>40476154965519500</v>
      </c>
      <c r="D85" s="5" t="n">
        <f aca="false">(Assumptions!$B$6*Assumptions!$B$7^(A85-1)/Assumptions!$B$12)*IF(B85="BOSS",Assumptions!$B$13,1)</f>
        <v>1619046198620778</v>
      </c>
      <c r="E85" s="6" t="n">
        <f aca="false">D85*IF(B85="BOSS",1,Assumptions!$B$11)</f>
        <v>16190461986207800</v>
      </c>
    </row>
    <row r="86" customFormat="false" ht="15" hidden="false" customHeight="true" outlineLevel="0" collapsed="false">
      <c r="A86" s="3" t="n">
        <v>84</v>
      </c>
      <c r="B86" s="3" t="str">
        <f aca="false">IF(MOD(A86,Assumptions!$B$8)=0,"BOSS","")</f>
        <v/>
      </c>
      <c r="C86" s="5" t="n">
        <f aca="false">Assumptions!$B$6*Assumptions!$B$7^(A86-1)*IF(B86="BOSS",Assumptions!$B$9,1)</f>
        <v>62738040196555100</v>
      </c>
      <c r="D86" s="5" t="n">
        <f aca="false">(Assumptions!$B$6*Assumptions!$B$7^(A86-1)/Assumptions!$B$12)*IF(B86="BOSS",Assumptions!$B$13,1)</f>
        <v>2509521607862210</v>
      </c>
      <c r="E86" s="6" t="n">
        <f aca="false">D86*IF(B86="BOSS",1,Assumptions!$B$11)</f>
        <v>25095216078622100</v>
      </c>
    </row>
    <row r="87" customFormat="false" ht="15" hidden="false" customHeight="true" outlineLevel="0" collapsed="false">
      <c r="A87" s="3" t="n">
        <v>85</v>
      </c>
      <c r="B87" s="3" t="str">
        <f aca="false">IF(MOD(A87,Assumptions!$B$8)=0,"BOSS","")</f>
        <v>BOSS</v>
      </c>
      <c r="C87" s="5" t="n">
        <f aca="false">Assumptions!$B$6*Assumptions!$B$7^(A87-1)*IF(B87="BOSS",Assumptions!$B$9,1)</f>
        <v>7.77951698437284E+017</v>
      </c>
      <c r="D87" s="5" t="n">
        <f aca="false">(Assumptions!$B$6*Assumptions!$B$7^(A87-1)/Assumptions!$B$12)*IF(B87="BOSS",Assumptions!$B$13,1)</f>
        <v>38897584921864200</v>
      </c>
      <c r="E87" s="6" t="n">
        <f aca="false">D87*IF(B87="BOSS",1,Assumptions!$B$11)</f>
        <v>38897584921864200</v>
      </c>
    </row>
    <row r="88" customFormat="false" ht="15" hidden="false" customHeight="true" outlineLevel="0" collapsed="false">
      <c r="A88" s="3" t="n">
        <v>86</v>
      </c>
      <c r="B88" s="3" t="str">
        <f aca="false">IF(MOD(A88,Assumptions!$B$8)=0,"BOSS","")</f>
        <v/>
      </c>
      <c r="C88" s="5" t="n">
        <f aca="false">Assumptions!$B$6*Assumptions!$B$7^(A88-1)*IF(B88="BOSS",Assumptions!$B$9,1)</f>
        <v>1.50728141572224E+017</v>
      </c>
      <c r="D88" s="5" t="n">
        <f aca="false">(Assumptions!$B$6*Assumptions!$B$7^(A88-1)/Assumptions!$B$12)*IF(B88="BOSS",Assumptions!$B$13,1)</f>
        <v>6029125662888948</v>
      </c>
      <c r="E88" s="6" t="n">
        <f aca="false">D88*IF(B88="BOSS",1,Assumptions!$B$11)</f>
        <v>60291256628889500</v>
      </c>
    </row>
    <row r="89" customFormat="false" ht="15" hidden="false" customHeight="true" outlineLevel="0" collapsed="false">
      <c r="A89" s="3" t="n">
        <v>87</v>
      </c>
      <c r="B89" s="3" t="str">
        <f aca="false">IF(MOD(A89,Assumptions!$B$8)=0,"BOSS","")</f>
        <v/>
      </c>
      <c r="C89" s="5" t="n">
        <f aca="false">Assumptions!$B$6*Assumptions!$B$7^(A89-1)*IF(B89="BOSS",Assumptions!$B$9,1)</f>
        <v>2.33628619436947E+017</v>
      </c>
      <c r="D89" s="5" t="n">
        <f aca="false">(Assumptions!$B$6*Assumptions!$B$7^(A89-1)/Assumptions!$B$12)*IF(B89="BOSS",Assumptions!$B$13,1)</f>
        <v>9345144777477870</v>
      </c>
      <c r="E89" s="6" t="n">
        <f aca="false">D89*IF(B89="BOSS",1,Assumptions!$B$11)</f>
        <v>93451447774778700</v>
      </c>
    </row>
    <row r="90" customFormat="false" ht="15" hidden="false" customHeight="true" outlineLevel="0" collapsed="false">
      <c r="A90" s="3" t="n">
        <v>88</v>
      </c>
      <c r="B90" s="3" t="str">
        <f aca="false">IF(MOD(A90,Assumptions!$B$8)=0,"BOSS","")</f>
        <v/>
      </c>
      <c r="C90" s="5" t="n">
        <f aca="false">Assumptions!$B$6*Assumptions!$B$7^(A90-1)*IF(B90="BOSS",Assumptions!$B$9,1)</f>
        <v>3.62124360127268E+017</v>
      </c>
      <c r="D90" s="5" t="n">
        <f aca="false">(Assumptions!$B$6*Assumptions!$B$7^(A90-1)/Assumptions!$B$12)*IF(B90="BOSS",Assumptions!$B$13,1)</f>
        <v>14484974405090700</v>
      </c>
      <c r="E90" s="6" t="n">
        <f aca="false">D90*IF(B90="BOSS",1,Assumptions!$B$11)</f>
        <v>1.44849744050907E+017</v>
      </c>
    </row>
    <row r="91" customFormat="false" ht="15" hidden="false" customHeight="true" outlineLevel="0" collapsed="false">
      <c r="A91" s="3" t="n">
        <v>89</v>
      </c>
      <c r="B91" s="3" t="str">
        <f aca="false">IF(MOD(A91,Assumptions!$B$8)=0,"BOSS","")</f>
        <v/>
      </c>
      <c r="C91" s="5" t="n">
        <f aca="false">Assumptions!$B$6*Assumptions!$B$7^(A91-1)*IF(B91="BOSS",Assumptions!$B$9,1)</f>
        <v>5.61292758197265E+017</v>
      </c>
      <c r="D91" s="5" t="n">
        <f aca="false">(Assumptions!$B$6*Assumptions!$B$7^(A91-1)/Assumptions!$B$12)*IF(B91="BOSS",Assumptions!$B$13,1)</f>
        <v>22451710327890600</v>
      </c>
      <c r="E91" s="6" t="n">
        <f aca="false">D91*IF(B91="BOSS",1,Assumptions!$B$11)</f>
        <v>2.24517103278906E+017</v>
      </c>
    </row>
    <row r="92" customFormat="false" ht="15" hidden="false" customHeight="true" outlineLevel="0" collapsed="false">
      <c r="A92" s="3" t="n">
        <v>90</v>
      </c>
      <c r="B92" s="3" t="str">
        <f aca="false">IF(MOD(A92,Assumptions!$B$8)=0,"BOSS","")</f>
        <v>BOSS</v>
      </c>
      <c r="C92" s="5" t="n">
        <f aca="false">Assumptions!$B$6*Assumptions!$B$7^(A92-1)*IF(B92="BOSS",Assumptions!$B$9,1)</f>
        <v>6.96003020164608E+018</v>
      </c>
      <c r="D92" s="5" t="n">
        <f aca="false">(Assumptions!$B$6*Assumptions!$B$7^(A92-1)/Assumptions!$B$12)*IF(B92="BOSS",Assumptions!$B$13,1)</f>
        <v>3.48001510082304E+017</v>
      </c>
      <c r="E92" s="6" t="n">
        <f aca="false">D92*IF(B92="BOSS",1,Assumptions!$B$11)</f>
        <v>3.48001510082304E+017</v>
      </c>
    </row>
    <row r="93" customFormat="false" ht="15" hidden="false" customHeight="true" outlineLevel="0" collapsed="false">
      <c r="A93" s="3" t="n">
        <v>91</v>
      </c>
      <c r="B93" s="3" t="str">
        <f aca="false">IF(MOD(A93,Assumptions!$B$8)=0,"BOSS","")</f>
        <v/>
      </c>
      <c r="C93" s="5" t="n">
        <f aca="false">Assumptions!$B$6*Assumptions!$B$7^(A93-1)*IF(B93="BOSS",Assumptions!$B$9,1)</f>
        <v>1.34850585156893E+018</v>
      </c>
      <c r="D93" s="5" t="n">
        <f aca="false">(Assumptions!$B$6*Assumptions!$B$7^(A93-1)/Assumptions!$B$12)*IF(B93="BOSS",Assumptions!$B$13,1)</f>
        <v>53940234062757100</v>
      </c>
      <c r="E93" s="6" t="n">
        <f aca="false">D93*IF(B93="BOSS",1,Assumptions!$B$11)</f>
        <v>5.39402340627571E+017</v>
      </c>
    </row>
    <row r="94" customFormat="false" ht="15" hidden="false" customHeight="true" outlineLevel="0" collapsed="false">
      <c r="A94" s="3" t="n">
        <v>92</v>
      </c>
      <c r="B94" s="3" t="str">
        <f aca="false">IF(MOD(A94,Assumptions!$B$8)=0,"BOSS","")</f>
        <v/>
      </c>
      <c r="C94" s="5" t="n">
        <f aca="false">Assumptions!$B$6*Assumptions!$B$7^(A94-1)*IF(B94="BOSS",Assumptions!$B$9,1)</f>
        <v>2.09018406993184E+018</v>
      </c>
      <c r="D94" s="5" t="n">
        <f aca="false">(Assumptions!$B$6*Assumptions!$B$7^(A94-1)/Assumptions!$B$12)*IF(B94="BOSS",Assumptions!$B$13,1)</f>
        <v>83607362797273600</v>
      </c>
      <c r="E94" s="6" t="n">
        <f aca="false">D94*IF(B94="BOSS",1,Assumptions!$B$11)</f>
        <v>8.36073627972736E+017</v>
      </c>
    </row>
    <row r="95" customFormat="false" ht="15" hidden="false" customHeight="true" outlineLevel="0" collapsed="false">
      <c r="A95" s="3" t="n">
        <v>93</v>
      </c>
      <c r="B95" s="3" t="str">
        <f aca="false">IF(MOD(A95,Assumptions!$B$8)=0,"BOSS","")</f>
        <v/>
      </c>
      <c r="C95" s="5" t="n">
        <f aca="false">Assumptions!$B$6*Assumptions!$B$7^(A95-1)*IF(B95="BOSS",Assumptions!$B$9,1)</f>
        <v>3.23978530839435E+018</v>
      </c>
      <c r="D95" s="5" t="n">
        <f aca="false">(Assumptions!$B$6*Assumptions!$B$7^(A95-1)/Assumptions!$B$12)*IF(B95="BOSS",Assumptions!$B$13,1)</f>
        <v>1.29591412335774E+017</v>
      </c>
      <c r="E95" s="6" t="n">
        <f aca="false">D95*IF(B95="BOSS",1,Assumptions!$B$11)</f>
        <v>1.29591412335774E+018</v>
      </c>
    </row>
    <row r="96" customFormat="false" ht="15" hidden="false" customHeight="true" outlineLevel="0" collapsed="false">
      <c r="A96" s="3" t="n">
        <v>94</v>
      </c>
      <c r="B96" s="3" t="str">
        <f aca="false">IF(MOD(A96,Assumptions!$B$8)=0,"BOSS","")</f>
        <v/>
      </c>
      <c r="C96" s="5" t="n">
        <f aca="false">Assumptions!$B$6*Assumptions!$B$7^(A96-1)*IF(B96="BOSS",Assumptions!$B$9,1)</f>
        <v>5.02166722801125E+018</v>
      </c>
      <c r="D96" s="5" t="n">
        <f aca="false">(Assumptions!$B$6*Assumptions!$B$7^(A96-1)/Assumptions!$B$12)*IF(B96="BOSS",Assumptions!$B$13,1)</f>
        <v>2.0086668912045E+017</v>
      </c>
      <c r="E96" s="6" t="n">
        <f aca="false">D96*IF(B96="BOSS",1,Assumptions!$B$11)</f>
        <v>2.0086668912045E+018</v>
      </c>
    </row>
    <row r="97" customFormat="false" ht="15" hidden="false" customHeight="true" outlineLevel="0" collapsed="false">
      <c r="A97" s="3" t="n">
        <v>95</v>
      </c>
      <c r="B97" s="3" t="str">
        <f aca="false">IF(MOD(A97,Assumptions!$B$8)=0,"BOSS","")</f>
        <v>BOSS</v>
      </c>
      <c r="C97" s="5" t="n">
        <f aca="false">Assumptions!$B$6*Assumptions!$B$7^(A97-1)*IF(B97="BOSS",Assumptions!$B$9,1)</f>
        <v>6.22686736273394E+019</v>
      </c>
      <c r="D97" s="5" t="n">
        <f aca="false">(Assumptions!$B$6*Assumptions!$B$7^(A97-1)/Assumptions!$B$12)*IF(B97="BOSS",Assumptions!$B$13,1)</f>
        <v>3.11343368136697E+018</v>
      </c>
      <c r="E97" s="6" t="n">
        <f aca="false">D97*IF(B97="BOSS",1,Assumptions!$B$11)</f>
        <v>3.11343368136697E+018</v>
      </c>
    </row>
    <row r="98" customFormat="false" ht="15" hidden="false" customHeight="true" outlineLevel="0" collapsed="false">
      <c r="A98" s="3" t="n">
        <v>96</v>
      </c>
      <c r="B98" s="3" t="str">
        <f aca="false">IF(MOD(A98,Assumptions!$B$8)=0,"BOSS","")</f>
        <v/>
      </c>
      <c r="C98" s="5" t="n">
        <f aca="false">Assumptions!$B$6*Assumptions!$B$7^(A98-1)*IF(B98="BOSS",Assumptions!$B$9,1)</f>
        <v>1.2064555515297E+019</v>
      </c>
      <c r="D98" s="5" t="n">
        <f aca="false">(Assumptions!$B$6*Assumptions!$B$7^(A98-1)/Assumptions!$B$12)*IF(B98="BOSS",Assumptions!$B$13,1)</f>
        <v>4.82582220611881E+017</v>
      </c>
      <c r="E98" s="6" t="n">
        <f aca="false">D98*IF(B98="BOSS",1,Assumptions!$B$11)</f>
        <v>4.82582220611881E+018</v>
      </c>
    </row>
    <row r="99" customFormat="false" ht="15" hidden="false" customHeight="true" outlineLevel="0" collapsed="false">
      <c r="A99" s="3" t="n">
        <v>97</v>
      </c>
      <c r="B99" s="3" t="str">
        <f aca="false">IF(MOD(A99,Assumptions!$B$8)=0,"BOSS","")</f>
        <v/>
      </c>
      <c r="C99" s="5" t="n">
        <f aca="false">Assumptions!$B$6*Assumptions!$B$7^(A99-1)*IF(B99="BOSS",Assumptions!$B$9,1)</f>
        <v>1.87000610487104E+019</v>
      </c>
      <c r="D99" s="5" t="n">
        <f aca="false">(Assumptions!$B$6*Assumptions!$B$7^(A99-1)/Assumptions!$B$12)*IF(B99="BOSS",Assumptions!$B$13,1)</f>
        <v>7.48002441948415E+017</v>
      </c>
      <c r="E99" s="6" t="n">
        <f aca="false">D99*IF(B99="BOSS",1,Assumptions!$B$11)</f>
        <v>7.48002441948415E+018</v>
      </c>
    </row>
    <row r="100" customFormat="false" ht="15" hidden="false" customHeight="true" outlineLevel="0" collapsed="false">
      <c r="A100" s="3" t="n">
        <v>98</v>
      </c>
      <c r="B100" s="3" t="str">
        <f aca="false">IF(MOD(A100,Assumptions!$B$8)=0,"BOSS","")</f>
        <v/>
      </c>
      <c r="C100" s="5" t="n">
        <f aca="false">Assumptions!$B$6*Assumptions!$B$7^(A100-1)*IF(B100="BOSS",Assumptions!$B$9,1)</f>
        <v>2.89850946255011E+019</v>
      </c>
      <c r="D100" s="5" t="n">
        <f aca="false">(Assumptions!$B$6*Assumptions!$B$7^(A100-1)/Assumptions!$B$12)*IF(B100="BOSS",Assumptions!$B$13,1)</f>
        <v>1.15940378502004E+018</v>
      </c>
      <c r="E100" s="6" t="n">
        <f aca="false">D100*IF(B100="BOSS",1,Assumptions!$B$11)</f>
        <v>1.15940378502004E+019</v>
      </c>
    </row>
    <row r="101" customFormat="false" ht="15" hidden="false" customHeight="true" outlineLevel="0" collapsed="false">
      <c r="A101" s="3" t="n">
        <v>99</v>
      </c>
      <c r="B101" s="3" t="str">
        <f aca="false">IF(MOD(A101,Assumptions!$B$8)=0,"BOSS","")</f>
        <v/>
      </c>
      <c r="C101" s="5" t="n">
        <f aca="false">Assumptions!$B$6*Assumptions!$B$7^(A101-1)*IF(B101="BOSS",Assumptions!$B$9,1)</f>
        <v>4.49268966695267E+019</v>
      </c>
      <c r="D101" s="5" t="n">
        <f aca="false">(Assumptions!$B$6*Assumptions!$B$7^(A101-1)/Assumptions!$B$12)*IF(B101="BOSS",Assumptions!$B$13,1)</f>
        <v>1.79707586678107E+018</v>
      </c>
      <c r="E101" s="6" t="n">
        <f aca="false">D101*IF(B101="BOSS",1,Assumptions!$B$11)</f>
        <v>1.79707586678107E+019</v>
      </c>
    </row>
    <row r="102" customFormat="false" ht="15" hidden="false" customHeight="true" outlineLevel="0" collapsed="false">
      <c r="A102" s="3" t="n">
        <v>100</v>
      </c>
      <c r="B102" s="3" t="str">
        <f aca="false">IF(MOD(A102,Assumptions!$B$8)=0,"BOSS","")</f>
        <v>BOSS</v>
      </c>
      <c r="C102" s="5" t="n">
        <f aca="false">Assumptions!$B$6*Assumptions!$B$7^(A102-1)*IF(B102="BOSS",Assumptions!$B$9,1)</f>
        <v>5.57093518702131E+020</v>
      </c>
      <c r="D102" s="5" t="n">
        <f aca="false">(Assumptions!$B$6*Assumptions!$B$7^(A102-1)/Assumptions!$B$12)*IF(B102="BOSS",Assumptions!$B$13,1)</f>
        <v>2.78546759351065E+019</v>
      </c>
      <c r="E102" s="6" t="n">
        <f aca="false">D102*IF(B102="BOSS",1,Assumptions!$B$11)</f>
        <v>2.78546759351065E+019</v>
      </c>
    </row>
    <row r="103" customFormat="false" ht="15" hidden="false" customHeight="true" outlineLevel="0" collapsed="false">
      <c r="A103" s="3" t="n">
        <v>101</v>
      </c>
      <c r="B103" s="3" t="str">
        <f aca="false">IF(MOD(A103,Assumptions!$B$8)=0,"BOSS","")</f>
        <v/>
      </c>
      <c r="C103" s="5" t="n">
        <f aca="false">Assumptions!$B$6*Assumptions!$B$7^(A103-1)*IF(B103="BOSS",Assumptions!$B$9,1)</f>
        <v>1.07936869248538E+020</v>
      </c>
      <c r="D103" s="5" t="n">
        <f aca="false">(Assumptions!$B$6*Assumptions!$B$7^(A103-1)/Assumptions!$B$12)*IF(B103="BOSS",Assumptions!$B$13,1)</f>
        <v>4.31747476994151E+018</v>
      </c>
      <c r="E103" s="6" t="n">
        <f aca="false">D103*IF(B103="BOSS",1,Assumptions!$B$11)</f>
        <v>4.31747476994151E+019</v>
      </c>
    </row>
    <row r="104" customFormat="false" ht="15" hidden="false" customHeight="true" outlineLevel="0" collapsed="false">
      <c r="A104" s="3" t="n">
        <v>102</v>
      </c>
      <c r="B104" s="3" t="str">
        <f aca="false">IF(MOD(A104,Assumptions!$B$8)=0,"BOSS","")</f>
        <v/>
      </c>
      <c r="C104" s="5" t="n">
        <f aca="false">Assumptions!$B$6*Assumptions!$B$7^(A104-1)*IF(B104="BOSS",Assumptions!$B$9,1)</f>
        <v>1.67302147335234E+020</v>
      </c>
      <c r="D104" s="5" t="n">
        <f aca="false">(Assumptions!$B$6*Assumptions!$B$7^(A104-1)/Assumptions!$B$12)*IF(B104="BOSS",Assumptions!$B$13,1)</f>
        <v>6.69208589340935E+018</v>
      </c>
      <c r="E104" s="6" t="n">
        <f aca="false">D104*IF(B104="BOSS",1,Assumptions!$B$11)</f>
        <v>6.69208589340935E+019</v>
      </c>
    </row>
    <row r="105" customFormat="false" ht="15" hidden="false" customHeight="true" outlineLevel="0" collapsed="false">
      <c r="A105" s="3" t="n">
        <v>103</v>
      </c>
      <c r="B105" s="3" t="str">
        <f aca="false">IF(MOD(A105,Assumptions!$B$8)=0,"BOSS","")</f>
        <v/>
      </c>
      <c r="C105" s="5" t="n">
        <f aca="false">Assumptions!$B$6*Assumptions!$B$7^(A105-1)*IF(B105="BOSS",Assumptions!$B$9,1)</f>
        <v>2.59318328369612E+020</v>
      </c>
      <c r="D105" s="5" t="n">
        <f aca="false">(Assumptions!$B$6*Assumptions!$B$7^(A105-1)/Assumptions!$B$12)*IF(B105="BOSS",Assumptions!$B$13,1)</f>
        <v>1.03727331347845E+019</v>
      </c>
      <c r="E105" s="6" t="n">
        <f aca="false">D105*IF(B105="BOSS",1,Assumptions!$B$11)</f>
        <v>1.03727331347845E+020</v>
      </c>
    </row>
    <row r="106" customFormat="false" ht="15" hidden="false" customHeight="true" outlineLevel="0" collapsed="false">
      <c r="A106" s="3" t="n">
        <v>104</v>
      </c>
      <c r="B106" s="3" t="str">
        <f aca="false">IF(MOD(A106,Assumptions!$B$8)=0,"BOSS","")</f>
        <v/>
      </c>
      <c r="C106" s="5" t="n">
        <f aca="false">Assumptions!$B$6*Assumptions!$B$7^(A106-1)*IF(B106="BOSS",Assumptions!$B$9,1)</f>
        <v>4.01943408972899E+020</v>
      </c>
      <c r="D106" s="5" t="n">
        <f aca="false">(Assumptions!$B$6*Assumptions!$B$7^(A106-1)/Assumptions!$B$12)*IF(B106="BOSS",Assumptions!$B$13,1)</f>
        <v>1.6077736358916E+019</v>
      </c>
      <c r="E106" s="6" t="n">
        <f aca="false">D106*IF(B106="BOSS",1,Assumptions!$B$11)</f>
        <v>1.6077736358916E+020</v>
      </c>
    </row>
    <row r="107" customFormat="false" ht="15" hidden="false" customHeight="true" outlineLevel="0" collapsed="false">
      <c r="A107" s="3" t="n">
        <v>105</v>
      </c>
      <c r="B107" s="3" t="str">
        <f aca="false">IF(MOD(A107,Assumptions!$B$8)=0,"BOSS","")</f>
        <v>BOSS</v>
      </c>
      <c r="C107" s="5" t="n">
        <f aca="false">Assumptions!$B$6*Assumptions!$B$7^(A107-1)*IF(B107="BOSS",Assumptions!$B$9,1)</f>
        <v>4.98409827126395E+021</v>
      </c>
      <c r="D107" s="5" t="n">
        <f aca="false">(Assumptions!$B$6*Assumptions!$B$7^(A107-1)/Assumptions!$B$12)*IF(B107="BOSS",Assumptions!$B$13,1)</f>
        <v>2.49204913563197E+020</v>
      </c>
      <c r="E107" s="6" t="n">
        <f aca="false">D107*IF(B107="BOSS",1,Assumptions!$B$11)</f>
        <v>2.49204913563197E+020</v>
      </c>
    </row>
    <row r="108" customFormat="false" ht="15" hidden="false" customHeight="true" outlineLevel="0" collapsed="false">
      <c r="A108" s="3" t="n">
        <v>106</v>
      </c>
      <c r="B108" s="3" t="str">
        <f aca="false">IF(MOD(A108,Assumptions!$B$8)=0,"BOSS","")</f>
        <v/>
      </c>
      <c r="C108" s="5" t="n">
        <f aca="false">Assumptions!$B$6*Assumptions!$B$7^(A108-1)*IF(B108="BOSS",Assumptions!$B$9,1)</f>
        <v>9.6566904005739E+020</v>
      </c>
      <c r="D108" s="5" t="n">
        <f aca="false">(Assumptions!$B$6*Assumptions!$B$7^(A108-1)/Assumptions!$B$12)*IF(B108="BOSS",Assumptions!$B$13,1)</f>
        <v>3.86267616022956E+019</v>
      </c>
      <c r="E108" s="6" t="n">
        <f aca="false">D108*IF(B108="BOSS",1,Assumptions!$B$11)</f>
        <v>3.86267616022956E+020</v>
      </c>
    </row>
    <row r="109" customFormat="false" ht="15" hidden="false" customHeight="true" outlineLevel="0" collapsed="false">
      <c r="A109" s="3" t="n">
        <v>107</v>
      </c>
      <c r="B109" s="3" t="str">
        <f aca="false">IF(MOD(A109,Assumptions!$B$8)=0,"BOSS","")</f>
        <v/>
      </c>
      <c r="C109" s="5" t="n">
        <f aca="false">Assumptions!$B$6*Assumptions!$B$7^(A109-1)*IF(B109="BOSS",Assumptions!$B$9,1)</f>
        <v>1.49678701208895E+021</v>
      </c>
      <c r="D109" s="5" t="n">
        <f aca="false">(Assumptions!$B$6*Assumptions!$B$7^(A109-1)/Assumptions!$B$12)*IF(B109="BOSS",Assumptions!$B$13,1)</f>
        <v>5.98714804835582E+019</v>
      </c>
      <c r="E109" s="6" t="n">
        <f aca="false">D109*IF(B109="BOSS",1,Assumptions!$B$11)</f>
        <v>5.98714804835582E+020</v>
      </c>
    </row>
    <row r="110" customFormat="false" ht="15" hidden="false" customHeight="true" outlineLevel="0" collapsed="false">
      <c r="A110" s="3" t="n">
        <v>108</v>
      </c>
      <c r="B110" s="3" t="str">
        <f aca="false">IF(MOD(A110,Assumptions!$B$8)=0,"BOSS","")</f>
        <v/>
      </c>
      <c r="C110" s="5" t="n">
        <f aca="false">Assumptions!$B$6*Assumptions!$B$7^(A110-1)*IF(B110="BOSS",Assumptions!$B$9,1)</f>
        <v>2.32001986873788E+021</v>
      </c>
      <c r="D110" s="5" t="n">
        <f aca="false">(Assumptions!$B$6*Assumptions!$B$7^(A110-1)/Assumptions!$B$12)*IF(B110="BOSS",Assumptions!$B$13,1)</f>
        <v>9.28007947495152E+019</v>
      </c>
      <c r="E110" s="6" t="n">
        <f aca="false">D110*IF(B110="BOSS",1,Assumptions!$B$11)</f>
        <v>9.28007947495152E+020</v>
      </c>
    </row>
    <row r="111" customFormat="false" ht="15" hidden="false" customHeight="true" outlineLevel="0" collapsed="false">
      <c r="A111" s="3" t="n">
        <v>109</v>
      </c>
      <c r="B111" s="3" t="str">
        <f aca="false">IF(MOD(A111,Assumptions!$B$8)=0,"BOSS","")</f>
        <v/>
      </c>
      <c r="C111" s="5" t="n">
        <f aca="false">Assumptions!$B$6*Assumptions!$B$7^(A111-1)*IF(B111="BOSS",Assumptions!$B$9,1)</f>
        <v>3.59603079654371E+021</v>
      </c>
      <c r="D111" s="5" t="n">
        <f aca="false">(Assumptions!$B$6*Assumptions!$B$7^(A111-1)/Assumptions!$B$12)*IF(B111="BOSS",Assumptions!$B$13,1)</f>
        <v>1.43841231861749E+020</v>
      </c>
      <c r="E111" s="6" t="n">
        <f aca="false">D111*IF(B111="BOSS",1,Assumptions!$B$11)</f>
        <v>1.43841231861749E+021</v>
      </c>
    </row>
    <row r="112" customFormat="false" ht="15" hidden="false" customHeight="true" outlineLevel="0" collapsed="false">
      <c r="A112" s="3" t="n">
        <v>110</v>
      </c>
      <c r="B112" s="3" t="str">
        <f aca="false">IF(MOD(A112,Assumptions!$B$8)=0,"BOSS","")</f>
        <v>BOSS</v>
      </c>
      <c r="C112" s="5" t="n">
        <f aca="false">Assumptions!$B$6*Assumptions!$B$7^(A112-1)*IF(B112="BOSS",Assumptions!$B$9,1)</f>
        <v>4.4590781877142E+022</v>
      </c>
      <c r="D112" s="5" t="n">
        <f aca="false">(Assumptions!$B$6*Assumptions!$B$7^(A112-1)/Assumptions!$B$12)*IF(B112="BOSS",Assumptions!$B$13,1)</f>
        <v>2.2295390938571E+021</v>
      </c>
      <c r="E112" s="6" t="n">
        <f aca="false">D112*IF(B112="BOSS",1,Assumptions!$B$11)</f>
        <v>2.2295390938571E+021</v>
      </c>
    </row>
    <row r="113" customFormat="false" ht="15" hidden="false" customHeight="true" outlineLevel="0" collapsed="false">
      <c r="A113" s="3" t="n">
        <v>111</v>
      </c>
      <c r="B113" s="3" t="str">
        <f aca="false">IF(MOD(A113,Assumptions!$B$8)=0,"BOSS","")</f>
        <v/>
      </c>
      <c r="C113" s="5" t="n">
        <f aca="false">Assumptions!$B$6*Assumptions!$B$7^(A113-1)*IF(B113="BOSS",Assumptions!$B$9,1)</f>
        <v>8.63946398869627E+021</v>
      </c>
      <c r="D113" s="5" t="n">
        <f aca="false">(Assumptions!$B$6*Assumptions!$B$7^(A113-1)/Assumptions!$B$12)*IF(B113="BOSS",Assumptions!$B$13,1)</f>
        <v>3.45578559547851E+020</v>
      </c>
      <c r="E113" s="6" t="n">
        <f aca="false">D113*IF(B113="BOSS",1,Assumptions!$B$11)</f>
        <v>3.45578559547851E+021</v>
      </c>
    </row>
    <row r="114" customFormat="false" ht="15" hidden="false" customHeight="true" outlineLevel="0" collapsed="false">
      <c r="A114" s="3" t="n">
        <v>112</v>
      </c>
      <c r="B114" s="3" t="str">
        <f aca="false">IF(MOD(A114,Assumptions!$B$8)=0,"BOSS","")</f>
        <v/>
      </c>
      <c r="C114" s="5" t="n">
        <f aca="false">Assumptions!$B$6*Assumptions!$B$7^(A114-1)*IF(B114="BOSS",Assumptions!$B$9,1)</f>
        <v>1.33911691824792E+022</v>
      </c>
      <c r="D114" s="5" t="n">
        <f aca="false">(Assumptions!$B$6*Assumptions!$B$7^(A114-1)/Assumptions!$B$12)*IF(B114="BOSS",Assumptions!$B$13,1)</f>
        <v>5.35646767299169E+020</v>
      </c>
      <c r="E114" s="6" t="n">
        <f aca="false">D114*IF(B114="BOSS",1,Assumptions!$B$11)</f>
        <v>5.35646767299169E+021</v>
      </c>
    </row>
    <row r="115" customFormat="false" ht="15" hidden="false" customHeight="true" outlineLevel="0" collapsed="false">
      <c r="A115" s="3" t="n">
        <v>113</v>
      </c>
      <c r="B115" s="3" t="str">
        <f aca="false">IF(MOD(A115,Assumptions!$B$8)=0,"BOSS","")</f>
        <v/>
      </c>
      <c r="C115" s="5" t="n">
        <f aca="false">Assumptions!$B$6*Assumptions!$B$7^(A115-1)*IF(B115="BOSS",Assumptions!$B$9,1)</f>
        <v>2.07563122328428E+022</v>
      </c>
      <c r="D115" s="5" t="n">
        <f aca="false">(Assumptions!$B$6*Assumptions!$B$7^(A115-1)/Assumptions!$B$12)*IF(B115="BOSS",Assumptions!$B$13,1)</f>
        <v>8.30252489313712E+020</v>
      </c>
      <c r="E115" s="6" t="n">
        <f aca="false">D115*IF(B115="BOSS",1,Assumptions!$B$11)</f>
        <v>8.30252489313712E+021</v>
      </c>
    </row>
    <row r="116" customFormat="false" ht="15" hidden="false" customHeight="true" outlineLevel="0" collapsed="false">
      <c r="A116" s="3" t="n">
        <v>114</v>
      </c>
      <c r="B116" s="3" t="str">
        <f aca="false">IF(MOD(A116,Assumptions!$B$8)=0,"BOSS","")</f>
        <v/>
      </c>
      <c r="C116" s="5" t="n">
        <f aca="false">Assumptions!$B$6*Assumptions!$B$7^(A116-1)*IF(B116="BOSS",Assumptions!$B$9,1)</f>
        <v>3.21722839609063E+022</v>
      </c>
      <c r="D116" s="5" t="n">
        <f aca="false">(Assumptions!$B$6*Assumptions!$B$7^(A116-1)/Assumptions!$B$12)*IF(B116="BOSS",Assumptions!$B$13,1)</f>
        <v>1.28689135843625E+021</v>
      </c>
      <c r="E116" s="6" t="n">
        <f aca="false">D116*IF(B116="BOSS",1,Assumptions!$B$11)</f>
        <v>1.28689135843625E+022</v>
      </c>
    </row>
    <row r="117" customFormat="false" ht="15" hidden="false" customHeight="true" outlineLevel="0" collapsed="false">
      <c r="A117" s="3" t="n">
        <v>115</v>
      </c>
      <c r="B117" s="3" t="str">
        <f aca="false">IF(MOD(A117,Assumptions!$B$8)=0,"BOSS","")</f>
        <v>BOSS</v>
      </c>
      <c r="C117" s="5" t="n">
        <f aca="false">Assumptions!$B$6*Assumptions!$B$7^(A117-1)*IF(B117="BOSS",Assumptions!$B$9,1)</f>
        <v>3.98936321115238E+023</v>
      </c>
      <c r="D117" s="5" t="n">
        <f aca="false">(Assumptions!$B$6*Assumptions!$B$7^(A117-1)/Assumptions!$B$12)*IF(B117="BOSS",Assumptions!$B$13,1)</f>
        <v>1.99468160557619E+022</v>
      </c>
      <c r="E117" s="6" t="n">
        <f aca="false">D117*IF(B117="BOSS",1,Assumptions!$B$11)</f>
        <v>1.99468160557619E+022</v>
      </c>
    </row>
    <row r="118" customFormat="false" ht="15" hidden="false" customHeight="true" outlineLevel="0" collapsed="false">
      <c r="A118" s="3" t="n">
        <v>116</v>
      </c>
      <c r="B118" s="3" t="str">
        <f aca="false">IF(MOD(A118,Assumptions!$B$8)=0,"BOSS","")</f>
        <v/>
      </c>
      <c r="C118" s="5" t="n">
        <f aca="false">Assumptions!$B$6*Assumptions!$B$7^(A118-1)*IF(B118="BOSS",Assumptions!$B$9,1)</f>
        <v>7.72939122160774E+022</v>
      </c>
      <c r="D118" s="5" t="n">
        <f aca="false">(Assumptions!$B$6*Assumptions!$B$7^(A118-1)/Assumptions!$B$12)*IF(B118="BOSS",Assumptions!$B$13,1)</f>
        <v>3.0917564886431E+021</v>
      </c>
      <c r="E118" s="6" t="n">
        <f aca="false">D118*IF(B118="BOSS",1,Assumptions!$B$11)</f>
        <v>3.0917564886431E+022</v>
      </c>
    </row>
    <row r="119" customFormat="false" ht="15" hidden="false" customHeight="true" outlineLevel="0" collapsed="false">
      <c r="A119" s="3" t="n">
        <v>117</v>
      </c>
      <c r="B119" s="3" t="str">
        <f aca="false">IF(MOD(A119,Assumptions!$B$8)=0,"BOSS","")</f>
        <v/>
      </c>
      <c r="C119" s="5" t="n">
        <f aca="false">Assumptions!$B$6*Assumptions!$B$7^(A119-1)*IF(B119="BOSS",Assumptions!$B$9,1)</f>
        <v>1.1980556393492E+023</v>
      </c>
      <c r="D119" s="5" t="n">
        <f aca="false">(Assumptions!$B$6*Assumptions!$B$7^(A119-1)/Assumptions!$B$12)*IF(B119="BOSS",Assumptions!$B$13,1)</f>
        <v>4.7922225573968E+021</v>
      </c>
      <c r="E119" s="6" t="n">
        <f aca="false">D119*IF(B119="BOSS",1,Assumptions!$B$11)</f>
        <v>4.7922225573968E+022</v>
      </c>
    </row>
    <row r="120" customFormat="false" ht="15" hidden="false" customHeight="true" outlineLevel="0" collapsed="false">
      <c r="A120" s="3" t="n">
        <v>118</v>
      </c>
      <c r="B120" s="3" t="str">
        <f aca="false">IF(MOD(A120,Assumptions!$B$8)=0,"BOSS","")</f>
        <v/>
      </c>
      <c r="C120" s="5" t="n">
        <f aca="false">Assumptions!$B$6*Assumptions!$B$7^(A120-1)*IF(B120="BOSS",Assumptions!$B$9,1)</f>
        <v>1.85698624099126E+023</v>
      </c>
      <c r="D120" s="5" t="n">
        <f aca="false">(Assumptions!$B$6*Assumptions!$B$7^(A120-1)/Assumptions!$B$12)*IF(B120="BOSS",Assumptions!$B$13,1)</f>
        <v>7.42794496396504E+021</v>
      </c>
      <c r="E120" s="6" t="n">
        <f aca="false">D120*IF(B120="BOSS",1,Assumptions!$B$11)</f>
        <v>7.42794496396504E+022</v>
      </c>
    </row>
    <row r="121" customFormat="false" ht="15" hidden="false" customHeight="true" outlineLevel="0" collapsed="false">
      <c r="A121" s="3" t="n">
        <v>119</v>
      </c>
      <c r="B121" s="3" t="str">
        <f aca="false">IF(MOD(A121,Assumptions!$B$8)=0,"BOSS","")</f>
        <v/>
      </c>
      <c r="C121" s="5" t="n">
        <f aca="false">Assumptions!$B$6*Assumptions!$B$7^(A121-1)*IF(B121="BOSS",Assumptions!$B$9,1)</f>
        <v>2.87832867353645E+023</v>
      </c>
      <c r="D121" s="5" t="n">
        <f aca="false">(Assumptions!$B$6*Assumptions!$B$7^(A121-1)/Assumptions!$B$12)*IF(B121="BOSS",Assumptions!$B$13,1)</f>
        <v>1.15133146941458E+022</v>
      </c>
      <c r="E121" s="6" t="n">
        <f aca="false">D121*IF(B121="BOSS",1,Assumptions!$B$11)</f>
        <v>1.15133146941458E+023</v>
      </c>
    </row>
    <row r="122" customFormat="false" ht="15" hidden="false" customHeight="true" outlineLevel="0" collapsed="false">
      <c r="A122" s="3" t="n">
        <v>120</v>
      </c>
      <c r="B122" s="3" t="str">
        <f aca="false">IF(MOD(A122,Assumptions!$B$8)=0,"BOSS","")</f>
        <v>BOSS</v>
      </c>
      <c r="C122" s="5" t="n">
        <f aca="false">Assumptions!$B$6*Assumptions!$B$7^(A122-1)*IF(B122="BOSS",Assumptions!$B$9,1)</f>
        <v>3.5691275551852E+024</v>
      </c>
      <c r="D122" s="5" t="n">
        <f aca="false">(Assumptions!$B$6*Assumptions!$B$7^(A122-1)/Assumptions!$B$12)*IF(B122="BOSS",Assumptions!$B$13,1)</f>
        <v>1.7845637775926E+023</v>
      </c>
      <c r="E122" s="6" t="n">
        <f aca="false">D122*IF(B122="BOSS",1,Assumptions!$B$11)</f>
        <v>1.7845637775926E+023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5" min="2" style="1" width="18"/>
  </cols>
  <sheetData>
    <row r="1" customFormat="false" ht="15" hidden="false" customHeight="true" outlineLevel="0" collapsed="false">
      <c r="A1" s="2" t="s">
        <v>54</v>
      </c>
    </row>
    <row r="2" customFormat="false" ht="15" hidden="false" customHeight="true" outlineLevel="0" collapsed="false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</row>
    <row r="3" customFormat="false" ht="15" hidden="false" customHeight="true" outlineLevel="0" collapsed="false">
      <c r="A3" s="3" t="n">
        <v>1</v>
      </c>
      <c r="B3" s="7" t="n">
        <f aca="false">Assumptions!$B$14*Assumptions!$B$15^A3</f>
        <v>43</v>
      </c>
      <c r="C3" s="7" t="n">
        <f aca="false">Assumptions!$B$16*A3*Assumptions!$B$18^INT(A3/Assumptions!$B$17)</f>
        <v>5</v>
      </c>
      <c r="D3" s="8" t="n">
        <f aca="false">B3*Assumptions!$B$21</f>
        <v>5160</v>
      </c>
      <c r="E3" s="8" t="n">
        <f aca="false">C3*Assumptions!$B$20</f>
        <v>200</v>
      </c>
    </row>
    <row r="4" customFormat="false" ht="15" hidden="false" customHeight="true" outlineLevel="0" collapsed="false">
      <c r="A4" s="3" t="n">
        <v>2</v>
      </c>
      <c r="B4" s="7" t="n">
        <f aca="false">Assumptions!$B$14*Assumptions!$B$15^A4</f>
        <v>46.225</v>
      </c>
      <c r="C4" s="7" t="n">
        <f aca="false">Assumptions!$B$16*A4*Assumptions!$B$18^INT(A4/Assumptions!$B$17)</f>
        <v>10</v>
      </c>
      <c r="D4" s="8" t="n">
        <f aca="false">B4*Assumptions!$B$21</f>
        <v>5547</v>
      </c>
      <c r="E4" s="8" t="n">
        <f aca="false">C4*Assumptions!$B$20</f>
        <v>400</v>
      </c>
    </row>
    <row r="5" customFormat="false" ht="15" hidden="false" customHeight="true" outlineLevel="0" collapsed="false">
      <c r="A5" s="3" t="n">
        <v>3</v>
      </c>
      <c r="B5" s="7" t="n">
        <f aca="false">Assumptions!$B$14*Assumptions!$B$15^A5</f>
        <v>49.691875</v>
      </c>
      <c r="C5" s="7" t="n">
        <f aca="false">Assumptions!$B$16*A5*Assumptions!$B$18^INT(A5/Assumptions!$B$17)</f>
        <v>15</v>
      </c>
      <c r="D5" s="8" t="n">
        <f aca="false">B5*Assumptions!$B$21</f>
        <v>5963.025</v>
      </c>
      <c r="E5" s="8" t="n">
        <f aca="false">C5*Assumptions!$B$20</f>
        <v>600</v>
      </c>
    </row>
    <row r="6" customFormat="false" ht="15" hidden="false" customHeight="true" outlineLevel="0" collapsed="false">
      <c r="A6" s="3" t="n">
        <v>4</v>
      </c>
      <c r="B6" s="7" t="n">
        <f aca="false">Assumptions!$B$14*Assumptions!$B$15^A6</f>
        <v>53.418765625</v>
      </c>
      <c r="C6" s="7" t="n">
        <f aca="false">Assumptions!$B$16*A6*Assumptions!$B$18^INT(A6/Assumptions!$B$17)</f>
        <v>20</v>
      </c>
      <c r="D6" s="8" t="n">
        <f aca="false">B6*Assumptions!$B$21</f>
        <v>6410.251875</v>
      </c>
      <c r="E6" s="8" t="n">
        <f aca="false">C6*Assumptions!$B$20</f>
        <v>800</v>
      </c>
    </row>
    <row r="7" customFormat="false" ht="15" hidden="false" customHeight="true" outlineLevel="0" collapsed="false">
      <c r="A7" s="3" t="n">
        <v>5</v>
      </c>
      <c r="B7" s="7" t="n">
        <f aca="false">Assumptions!$B$14*Assumptions!$B$15^A7</f>
        <v>57.425173046875</v>
      </c>
      <c r="C7" s="7" t="n">
        <f aca="false">Assumptions!$B$16*A7*Assumptions!$B$18^INT(A7/Assumptions!$B$17)</f>
        <v>25</v>
      </c>
      <c r="D7" s="8" t="n">
        <f aca="false">B7*Assumptions!$B$21</f>
        <v>6891.020765625</v>
      </c>
      <c r="E7" s="8" t="n">
        <f aca="false">C7*Assumptions!$B$20</f>
        <v>1000</v>
      </c>
    </row>
    <row r="8" customFormat="false" ht="15" hidden="false" customHeight="true" outlineLevel="0" collapsed="false">
      <c r="A8" s="3" t="n">
        <v>6</v>
      </c>
      <c r="B8" s="7" t="n">
        <f aca="false">Assumptions!$B$14*Assumptions!$B$15^A8</f>
        <v>61.7320610253906</v>
      </c>
      <c r="C8" s="7" t="n">
        <f aca="false">Assumptions!$B$16*A8*Assumptions!$B$18^INT(A8/Assumptions!$B$17)</f>
        <v>30</v>
      </c>
      <c r="D8" s="8" t="n">
        <f aca="false">B8*Assumptions!$B$21</f>
        <v>7407.84732304687</v>
      </c>
      <c r="E8" s="8" t="n">
        <f aca="false">C8*Assumptions!$B$20</f>
        <v>1200</v>
      </c>
    </row>
    <row r="9" customFormat="false" ht="15" hidden="false" customHeight="true" outlineLevel="0" collapsed="false">
      <c r="A9" s="3" t="n">
        <v>7</v>
      </c>
      <c r="B9" s="7" t="n">
        <f aca="false">Assumptions!$B$14*Assumptions!$B$15^A9</f>
        <v>66.3619656022949</v>
      </c>
      <c r="C9" s="7" t="n">
        <f aca="false">Assumptions!$B$16*A9*Assumptions!$B$18^INT(A9/Assumptions!$B$17)</f>
        <v>35</v>
      </c>
      <c r="D9" s="8" t="n">
        <f aca="false">B9*Assumptions!$B$21</f>
        <v>7963.43587227539</v>
      </c>
      <c r="E9" s="8" t="n">
        <f aca="false">C9*Assumptions!$B$20</f>
        <v>1400</v>
      </c>
    </row>
    <row r="10" customFormat="false" ht="15" hidden="false" customHeight="true" outlineLevel="0" collapsed="false">
      <c r="A10" s="3" t="n">
        <v>8</v>
      </c>
      <c r="B10" s="7" t="n">
        <f aca="false">Assumptions!$B$14*Assumptions!$B$15^A10</f>
        <v>71.339113022467</v>
      </c>
      <c r="C10" s="7" t="n">
        <f aca="false">Assumptions!$B$16*A10*Assumptions!$B$18^INT(A10/Assumptions!$B$17)</f>
        <v>40</v>
      </c>
      <c r="D10" s="8" t="n">
        <f aca="false">B10*Assumptions!$B$21</f>
        <v>8560.69356269604</v>
      </c>
      <c r="E10" s="8" t="n">
        <f aca="false">C10*Assumptions!$B$20</f>
        <v>1600</v>
      </c>
    </row>
    <row r="11" customFormat="false" ht="15" hidden="false" customHeight="true" outlineLevel="0" collapsed="false">
      <c r="A11" s="3" t="n">
        <v>9</v>
      </c>
      <c r="B11" s="7" t="n">
        <f aca="false">Assumptions!$B$14*Assumptions!$B$15^A11</f>
        <v>76.689546499152</v>
      </c>
      <c r="C11" s="7" t="n">
        <f aca="false">Assumptions!$B$16*A11*Assumptions!$B$18^INT(A11/Assumptions!$B$17)</f>
        <v>45</v>
      </c>
      <c r="D11" s="8" t="n">
        <f aca="false">B11*Assumptions!$B$21</f>
        <v>9202.74557989825</v>
      </c>
      <c r="E11" s="8" t="n">
        <f aca="false">C11*Assumptions!$B$20</f>
        <v>1800</v>
      </c>
    </row>
    <row r="12" customFormat="false" ht="15" hidden="false" customHeight="true" outlineLevel="0" collapsed="false">
      <c r="A12" s="3" t="n">
        <v>10</v>
      </c>
      <c r="B12" s="7" t="n">
        <f aca="false">Assumptions!$B$14*Assumptions!$B$15^A12</f>
        <v>82.4412624865884</v>
      </c>
      <c r="C12" s="7" t="n">
        <f aca="false">Assumptions!$B$16*A12*Assumptions!$B$18^INT(A12/Assumptions!$B$17)</f>
        <v>50</v>
      </c>
      <c r="D12" s="8" t="n">
        <f aca="false">B12*Assumptions!$B$21</f>
        <v>9892.95149839061</v>
      </c>
      <c r="E12" s="8" t="n">
        <f aca="false">C12*Assumptions!$B$20</f>
        <v>2000</v>
      </c>
    </row>
    <row r="13" customFormat="false" ht="15" hidden="false" customHeight="true" outlineLevel="0" collapsed="false">
      <c r="A13" s="3" t="n">
        <v>11</v>
      </c>
      <c r="B13" s="7" t="n">
        <f aca="false">Assumptions!$B$14*Assumptions!$B$15^A13</f>
        <v>88.6243571730826</v>
      </c>
      <c r="C13" s="7" t="n">
        <f aca="false">Assumptions!$B$16*A13*Assumptions!$B$18^INT(A13/Assumptions!$B$17)</f>
        <v>55</v>
      </c>
      <c r="D13" s="8" t="n">
        <f aca="false">B13*Assumptions!$B$21</f>
        <v>10634.9228607699</v>
      </c>
      <c r="E13" s="8" t="n">
        <f aca="false">C13*Assumptions!$B$20</f>
        <v>2200</v>
      </c>
    </row>
    <row r="14" customFormat="false" ht="15" hidden="false" customHeight="true" outlineLevel="0" collapsed="false">
      <c r="A14" s="3" t="n">
        <v>12</v>
      </c>
      <c r="B14" s="7" t="n">
        <f aca="false">Assumptions!$B$14*Assumptions!$B$15^A14</f>
        <v>95.2711839610638</v>
      </c>
      <c r="C14" s="7" t="n">
        <f aca="false">Assumptions!$B$16*A14*Assumptions!$B$18^INT(A14/Assumptions!$B$17)</f>
        <v>60</v>
      </c>
      <c r="D14" s="8" t="n">
        <f aca="false">B14*Assumptions!$B$21</f>
        <v>11432.5420753277</v>
      </c>
      <c r="E14" s="8" t="n">
        <f aca="false">C14*Assumptions!$B$20</f>
        <v>2400</v>
      </c>
    </row>
    <row r="15" customFormat="false" ht="15" hidden="false" customHeight="true" outlineLevel="0" collapsed="false">
      <c r="A15" s="3" t="n">
        <v>13</v>
      </c>
      <c r="B15" s="7" t="n">
        <f aca="false">Assumptions!$B$14*Assumptions!$B$15^A15</f>
        <v>102.416522758144</v>
      </c>
      <c r="C15" s="7" t="n">
        <f aca="false">Assumptions!$B$16*A15*Assumptions!$B$18^INT(A15/Assumptions!$B$17)</f>
        <v>65</v>
      </c>
      <c r="D15" s="8" t="n">
        <f aca="false">B15*Assumptions!$B$21</f>
        <v>12289.9827309772</v>
      </c>
      <c r="E15" s="8" t="n">
        <f aca="false">C15*Assumptions!$B$20</f>
        <v>2600</v>
      </c>
    </row>
    <row r="16" customFormat="false" ht="15" hidden="false" customHeight="true" outlineLevel="0" collapsed="false">
      <c r="A16" s="3" t="n">
        <v>14</v>
      </c>
      <c r="B16" s="7" t="n">
        <f aca="false">Assumptions!$B$14*Assumptions!$B$15^A16</f>
        <v>110.097761965004</v>
      </c>
      <c r="C16" s="7" t="n">
        <f aca="false">Assumptions!$B$16*A16*Assumptions!$B$18^INT(A16/Assumptions!$B$17)</f>
        <v>70</v>
      </c>
      <c r="D16" s="8" t="n">
        <f aca="false">B16*Assumptions!$B$21</f>
        <v>13211.7314358005</v>
      </c>
      <c r="E16" s="8" t="n">
        <f aca="false">C16*Assumptions!$B$20</f>
        <v>2800</v>
      </c>
    </row>
    <row r="17" customFormat="false" ht="15" hidden="false" customHeight="true" outlineLevel="0" collapsed="false">
      <c r="A17" s="3" t="n">
        <v>15</v>
      </c>
      <c r="B17" s="7" t="n">
        <f aca="false">Assumptions!$B$14*Assumptions!$B$15^A17</f>
        <v>118.35509411238</v>
      </c>
      <c r="C17" s="7" t="n">
        <f aca="false">Assumptions!$B$16*A17*Assumptions!$B$18^INT(A17/Assumptions!$B$17)</f>
        <v>75</v>
      </c>
      <c r="D17" s="8" t="n">
        <f aca="false">B17*Assumptions!$B$21</f>
        <v>14202.6112934856</v>
      </c>
      <c r="E17" s="8" t="n">
        <f aca="false">C17*Assumptions!$B$20</f>
        <v>3000</v>
      </c>
    </row>
    <row r="18" customFormat="false" ht="15" hidden="false" customHeight="true" outlineLevel="0" collapsed="false">
      <c r="A18" s="3" t="n">
        <v>16</v>
      </c>
      <c r="B18" s="7" t="n">
        <f aca="false">Assumptions!$B$14*Assumptions!$B$15^A18</f>
        <v>127.231726170808</v>
      </c>
      <c r="C18" s="7" t="n">
        <f aca="false">Assumptions!$B$16*A18*Assumptions!$B$18^INT(A18/Assumptions!$B$17)</f>
        <v>80</v>
      </c>
      <c r="D18" s="8" t="n">
        <f aca="false">B18*Assumptions!$B$21</f>
        <v>15267.807140497</v>
      </c>
      <c r="E18" s="8" t="n">
        <f aca="false">C18*Assumptions!$B$20</f>
        <v>3200</v>
      </c>
    </row>
    <row r="19" customFormat="false" ht="15" hidden="false" customHeight="true" outlineLevel="0" collapsed="false">
      <c r="A19" s="3" t="n">
        <v>17</v>
      </c>
      <c r="B19" s="7" t="n">
        <f aca="false">Assumptions!$B$14*Assumptions!$B$15^A19</f>
        <v>136.774105633619</v>
      </c>
      <c r="C19" s="7" t="n">
        <f aca="false">Assumptions!$B$16*A19*Assumptions!$B$18^INT(A19/Assumptions!$B$17)</f>
        <v>85</v>
      </c>
      <c r="D19" s="8" t="n">
        <f aca="false">B19*Assumptions!$B$21</f>
        <v>16412.8926760342</v>
      </c>
      <c r="E19" s="8" t="n">
        <f aca="false">C19*Assumptions!$B$20</f>
        <v>3400</v>
      </c>
    </row>
    <row r="20" customFormat="false" ht="15" hidden="false" customHeight="true" outlineLevel="0" collapsed="false">
      <c r="A20" s="3" t="n">
        <v>18</v>
      </c>
      <c r="B20" s="7" t="n">
        <f aca="false">Assumptions!$B$14*Assumptions!$B$15^A20</f>
        <v>147.03216355614</v>
      </c>
      <c r="C20" s="7" t="n">
        <f aca="false">Assumptions!$B$16*A20*Assumptions!$B$18^INT(A20/Assumptions!$B$17)</f>
        <v>90</v>
      </c>
      <c r="D20" s="8" t="n">
        <f aca="false">B20*Assumptions!$B$21</f>
        <v>17643.8596267368</v>
      </c>
      <c r="E20" s="8" t="n">
        <f aca="false">C20*Assumptions!$B$20</f>
        <v>3600</v>
      </c>
    </row>
    <row r="21" customFormat="false" ht="15" hidden="false" customHeight="true" outlineLevel="0" collapsed="false">
      <c r="A21" s="3" t="n">
        <v>19</v>
      </c>
      <c r="B21" s="7" t="n">
        <f aca="false">Assumptions!$B$14*Assumptions!$B$15^A21</f>
        <v>158.059575822851</v>
      </c>
      <c r="C21" s="7" t="n">
        <f aca="false">Assumptions!$B$16*A21*Assumptions!$B$18^INT(A21/Assumptions!$B$17)</f>
        <v>95</v>
      </c>
      <c r="D21" s="8" t="n">
        <f aca="false">B21*Assumptions!$B$21</f>
        <v>18967.1490987421</v>
      </c>
      <c r="E21" s="8" t="n">
        <f aca="false">C21*Assumptions!$B$20</f>
        <v>3800</v>
      </c>
    </row>
    <row r="22" customFormat="false" ht="15" hidden="false" customHeight="true" outlineLevel="0" collapsed="false">
      <c r="A22" s="3" t="n">
        <v>20</v>
      </c>
      <c r="B22" s="7" t="n">
        <f aca="false">Assumptions!$B$14*Assumptions!$B$15^A22</f>
        <v>169.914044009564</v>
      </c>
      <c r="C22" s="7" t="n">
        <f aca="false">Assumptions!$B$16*A22*Assumptions!$B$18^INT(A22/Assumptions!$B$17)</f>
        <v>100</v>
      </c>
      <c r="D22" s="8" t="n">
        <f aca="false">B22*Assumptions!$B$21</f>
        <v>20389.6852811477</v>
      </c>
      <c r="E22" s="8" t="n">
        <f aca="false">C22*Assumptions!$B$20</f>
        <v>4000</v>
      </c>
    </row>
    <row r="23" customFormat="false" ht="15" hidden="false" customHeight="true" outlineLevel="0" collapsed="false">
      <c r="A23" s="3" t="n">
        <v>21</v>
      </c>
      <c r="B23" s="7" t="n">
        <f aca="false">Assumptions!$B$14*Assumptions!$B$15^A23</f>
        <v>182.657597310282</v>
      </c>
      <c r="C23" s="7" t="n">
        <f aca="false">Assumptions!$B$16*A23*Assumptions!$B$18^INT(A23/Assumptions!$B$17)</f>
        <v>105</v>
      </c>
      <c r="D23" s="8" t="n">
        <f aca="false">B23*Assumptions!$B$21</f>
        <v>21918.9116772338</v>
      </c>
      <c r="E23" s="8" t="n">
        <f aca="false">C23*Assumptions!$B$20</f>
        <v>4200</v>
      </c>
    </row>
    <row r="24" customFormat="false" ht="15" hidden="false" customHeight="true" outlineLevel="0" collapsed="false">
      <c r="A24" s="3" t="n">
        <v>22</v>
      </c>
      <c r="B24" s="7" t="n">
        <f aca="false">Assumptions!$B$14*Assumptions!$B$15^A24</f>
        <v>196.356917108553</v>
      </c>
      <c r="C24" s="7" t="n">
        <f aca="false">Assumptions!$B$16*A24*Assumptions!$B$18^INT(A24/Assumptions!$B$17)</f>
        <v>110</v>
      </c>
      <c r="D24" s="8" t="n">
        <f aca="false">B24*Assumptions!$B$21</f>
        <v>23562.8300530263</v>
      </c>
      <c r="E24" s="8" t="n">
        <f aca="false">C24*Assumptions!$B$20</f>
        <v>4400</v>
      </c>
    </row>
    <row r="25" customFormat="false" ht="15" hidden="false" customHeight="true" outlineLevel="0" collapsed="false">
      <c r="A25" s="3" t="n">
        <v>23</v>
      </c>
      <c r="B25" s="7" t="n">
        <f aca="false">Assumptions!$B$14*Assumptions!$B$15^A25</f>
        <v>211.083685891694</v>
      </c>
      <c r="C25" s="7" t="n">
        <f aca="false">Assumptions!$B$16*A25*Assumptions!$B$18^INT(A25/Assumptions!$B$17)</f>
        <v>115</v>
      </c>
      <c r="D25" s="8" t="n">
        <f aca="false">B25*Assumptions!$B$21</f>
        <v>25330.0423070033</v>
      </c>
      <c r="E25" s="8" t="n">
        <f aca="false">C25*Assumptions!$B$20</f>
        <v>4600</v>
      </c>
    </row>
    <row r="26" customFormat="false" ht="15" hidden="false" customHeight="true" outlineLevel="0" collapsed="false">
      <c r="A26" s="3" t="n">
        <v>24</v>
      </c>
      <c r="B26" s="7" t="n">
        <f aca="false">Assumptions!$B$14*Assumptions!$B$15^A26</f>
        <v>226.914962333571</v>
      </c>
      <c r="C26" s="7" t="n">
        <f aca="false">Assumptions!$B$16*A26*Assumptions!$B$18^INT(A26/Assumptions!$B$17)</f>
        <v>120</v>
      </c>
      <c r="D26" s="8" t="n">
        <f aca="false">B26*Assumptions!$B$21</f>
        <v>27229.7954800286</v>
      </c>
      <c r="E26" s="8" t="n">
        <f aca="false">C26*Assumptions!$B$20</f>
        <v>4800</v>
      </c>
    </row>
    <row r="27" customFormat="false" ht="15" hidden="false" customHeight="true" outlineLevel="0" collapsed="false">
      <c r="A27" s="3" t="n">
        <v>25</v>
      </c>
      <c r="B27" s="7" t="n">
        <f aca="false">Assumptions!$B$14*Assumptions!$B$15^A27</f>
        <v>243.933584508589</v>
      </c>
      <c r="C27" s="7" t="n">
        <f aca="false">Assumptions!$B$16*A27*Assumptions!$B$18^INT(A27/Assumptions!$B$17)</f>
        <v>500</v>
      </c>
      <c r="D27" s="8" t="n">
        <f aca="false">B27*Assumptions!$B$21</f>
        <v>29272.0301410307</v>
      </c>
      <c r="E27" s="8" t="n">
        <f aca="false">C27*Assumptions!$B$20</f>
        <v>20000</v>
      </c>
    </row>
    <row r="28" customFormat="false" ht="15" hidden="false" customHeight="true" outlineLevel="0" collapsed="false">
      <c r="A28" s="3" t="n">
        <v>26</v>
      </c>
      <c r="B28" s="7" t="n">
        <f aca="false">Assumptions!$B$14*Assumptions!$B$15^A28</f>
        <v>262.228603346733</v>
      </c>
      <c r="C28" s="7" t="n">
        <f aca="false">Assumptions!$B$16*A28*Assumptions!$B$18^INT(A28/Assumptions!$B$17)</f>
        <v>520</v>
      </c>
      <c r="D28" s="8" t="n">
        <f aca="false">B28*Assumptions!$B$21</f>
        <v>31467.432401608</v>
      </c>
      <c r="E28" s="8" t="n">
        <f aca="false">C28*Assumptions!$B$20</f>
        <v>20800</v>
      </c>
    </row>
    <row r="29" customFormat="false" ht="15" hidden="false" customHeight="true" outlineLevel="0" collapsed="false">
      <c r="A29" s="3" t="n">
        <v>27</v>
      </c>
      <c r="B29" s="7" t="n">
        <f aca="false">Assumptions!$B$14*Assumptions!$B$15^A29</f>
        <v>281.895748597738</v>
      </c>
      <c r="C29" s="7" t="n">
        <f aca="false">Assumptions!$B$16*A29*Assumptions!$B$18^INT(A29/Assumptions!$B$17)</f>
        <v>540</v>
      </c>
      <c r="D29" s="8" t="n">
        <f aca="false">B29*Assumptions!$B$21</f>
        <v>33827.4898317286</v>
      </c>
      <c r="E29" s="8" t="n">
        <f aca="false">C29*Assumptions!$B$20</f>
        <v>21600</v>
      </c>
    </row>
    <row r="30" customFormat="false" ht="15" hidden="false" customHeight="true" outlineLevel="0" collapsed="false">
      <c r="A30" s="3" t="n">
        <v>28</v>
      </c>
      <c r="B30" s="7" t="n">
        <f aca="false">Assumptions!$B$14*Assumptions!$B$15^A30</f>
        <v>303.037929742569</v>
      </c>
      <c r="C30" s="7" t="n">
        <f aca="false">Assumptions!$B$16*A30*Assumptions!$B$18^INT(A30/Assumptions!$B$17)</f>
        <v>560</v>
      </c>
      <c r="D30" s="8" t="n">
        <f aca="false">B30*Assumptions!$B$21</f>
        <v>36364.5515691082</v>
      </c>
      <c r="E30" s="8" t="n">
        <f aca="false">C30*Assumptions!$B$20</f>
        <v>22400</v>
      </c>
    </row>
    <row r="31" customFormat="false" ht="15" hidden="false" customHeight="true" outlineLevel="0" collapsed="false">
      <c r="A31" s="3" t="n">
        <v>29</v>
      </c>
      <c r="B31" s="7" t="n">
        <f aca="false">Assumptions!$B$14*Assumptions!$B$15^A31</f>
        <v>325.765774473261</v>
      </c>
      <c r="C31" s="7" t="n">
        <f aca="false">Assumptions!$B$16*A31*Assumptions!$B$18^INT(A31/Assumptions!$B$17)</f>
        <v>580</v>
      </c>
      <c r="D31" s="8" t="n">
        <f aca="false">B31*Assumptions!$B$21</f>
        <v>39091.8929367914</v>
      </c>
      <c r="E31" s="8" t="n">
        <f aca="false">C31*Assumptions!$B$20</f>
        <v>23200</v>
      </c>
    </row>
    <row r="32" customFormat="false" ht="15" hidden="false" customHeight="true" outlineLevel="0" collapsed="false">
      <c r="A32" s="3" t="n">
        <v>30</v>
      </c>
      <c r="B32" s="7" t="n">
        <f aca="false">Assumptions!$B$14*Assumptions!$B$15^A32</f>
        <v>350.198207558756</v>
      </c>
      <c r="C32" s="7" t="n">
        <f aca="false">Assumptions!$B$16*A32*Assumptions!$B$18^INT(A32/Assumptions!$B$17)</f>
        <v>600</v>
      </c>
      <c r="D32" s="8" t="n">
        <f aca="false">B32*Assumptions!$B$21</f>
        <v>42023.7849070507</v>
      </c>
      <c r="E32" s="8" t="n">
        <f aca="false">C32*Assumptions!$B$20</f>
        <v>24000</v>
      </c>
    </row>
    <row r="33" customFormat="false" ht="15" hidden="false" customHeight="true" outlineLevel="0" collapsed="false">
      <c r="A33" s="3" t="n">
        <v>31</v>
      </c>
      <c r="B33" s="7" t="n">
        <f aca="false">Assumptions!$B$14*Assumptions!$B$15^A33</f>
        <v>376.463073125663</v>
      </c>
      <c r="C33" s="7" t="n">
        <f aca="false">Assumptions!$B$16*A33*Assumptions!$B$18^INT(A33/Assumptions!$B$17)</f>
        <v>620</v>
      </c>
      <c r="D33" s="8" t="n">
        <f aca="false">B33*Assumptions!$B$21</f>
        <v>45175.5687750795</v>
      </c>
      <c r="E33" s="8" t="n">
        <f aca="false">C33*Assumptions!$B$20</f>
        <v>24800</v>
      </c>
    </row>
    <row r="34" customFormat="false" ht="15" hidden="false" customHeight="true" outlineLevel="0" collapsed="false">
      <c r="A34" s="3" t="n">
        <v>32</v>
      </c>
      <c r="B34" s="7" t="n">
        <f aca="false">Assumptions!$B$14*Assumptions!$B$15^A34</f>
        <v>404.697803610087</v>
      </c>
      <c r="C34" s="7" t="n">
        <f aca="false">Assumptions!$B$16*A34*Assumptions!$B$18^INT(A34/Assumptions!$B$17)</f>
        <v>640</v>
      </c>
      <c r="D34" s="8" t="n">
        <f aca="false">B34*Assumptions!$B$21</f>
        <v>48563.7364332105</v>
      </c>
      <c r="E34" s="8" t="n">
        <f aca="false">C34*Assumptions!$B$20</f>
        <v>25600</v>
      </c>
    </row>
    <row r="35" customFormat="false" ht="15" hidden="false" customHeight="true" outlineLevel="0" collapsed="false">
      <c r="A35" s="3" t="n">
        <v>33</v>
      </c>
      <c r="B35" s="7" t="n">
        <f aca="false">Assumptions!$B$14*Assumptions!$B$15^A35</f>
        <v>435.050138880844</v>
      </c>
      <c r="C35" s="7" t="n">
        <f aca="false">Assumptions!$B$16*A35*Assumptions!$B$18^INT(A35/Assumptions!$B$17)</f>
        <v>660</v>
      </c>
      <c r="D35" s="8" t="n">
        <f aca="false">B35*Assumptions!$B$21</f>
        <v>52206.0166657013</v>
      </c>
      <c r="E35" s="8" t="n">
        <f aca="false">C35*Assumptions!$B$20</f>
        <v>26400</v>
      </c>
    </row>
    <row r="36" customFormat="false" ht="15" hidden="false" customHeight="true" outlineLevel="0" collapsed="false">
      <c r="A36" s="3" t="n">
        <v>34</v>
      </c>
      <c r="B36" s="7" t="n">
        <f aca="false">Assumptions!$B$14*Assumptions!$B$15^A36</f>
        <v>467.678899296907</v>
      </c>
      <c r="C36" s="7" t="n">
        <f aca="false">Assumptions!$B$16*A36*Assumptions!$B$18^INT(A36/Assumptions!$B$17)</f>
        <v>680</v>
      </c>
      <c r="D36" s="8" t="n">
        <f aca="false">B36*Assumptions!$B$21</f>
        <v>56121.4679156289</v>
      </c>
      <c r="E36" s="8" t="n">
        <f aca="false">C36*Assumptions!$B$20</f>
        <v>27200</v>
      </c>
    </row>
    <row r="37" customFormat="false" ht="15" hidden="false" customHeight="true" outlineLevel="0" collapsed="false">
      <c r="A37" s="3" t="n">
        <v>35</v>
      </c>
      <c r="B37" s="7" t="n">
        <f aca="false">Assumptions!$B$14*Assumptions!$B$15^A37</f>
        <v>502.754816744175</v>
      </c>
      <c r="C37" s="7" t="n">
        <f aca="false">Assumptions!$B$16*A37*Assumptions!$B$18^INT(A37/Assumptions!$B$17)</f>
        <v>700</v>
      </c>
      <c r="D37" s="8" t="n">
        <f aca="false">B37*Assumptions!$B$21</f>
        <v>60330.578009301</v>
      </c>
      <c r="E37" s="8" t="n">
        <f aca="false">C37*Assumptions!$B$20</f>
        <v>28000</v>
      </c>
    </row>
    <row r="38" customFormat="false" ht="15" hidden="false" customHeight="true" outlineLevel="0" collapsed="false">
      <c r="A38" s="3" t="n">
        <v>36</v>
      </c>
      <c r="B38" s="7" t="n">
        <f aca="false">Assumptions!$B$14*Assumptions!$B$15^A38</f>
        <v>540.461427999988</v>
      </c>
      <c r="C38" s="7" t="n">
        <f aca="false">Assumptions!$B$16*A38*Assumptions!$B$18^INT(A38/Assumptions!$B$17)</f>
        <v>720</v>
      </c>
      <c r="D38" s="8" t="n">
        <f aca="false">B38*Assumptions!$B$21</f>
        <v>64855.3713599986</v>
      </c>
      <c r="E38" s="8" t="n">
        <f aca="false">C38*Assumptions!$B$20</f>
        <v>28800</v>
      </c>
    </row>
    <row r="39" customFormat="false" ht="15" hidden="false" customHeight="true" outlineLevel="0" collapsed="false">
      <c r="A39" s="3" t="n">
        <v>37</v>
      </c>
      <c r="B39" s="7" t="n">
        <f aca="false">Assumptions!$B$14*Assumptions!$B$15^A39</f>
        <v>580.996035099987</v>
      </c>
      <c r="C39" s="7" t="n">
        <f aca="false">Assumptions!$B$16*A39*Assumptions!$B$18^INT(A39/Assumptions!$B$17)</f>
        <v>740</v>
      </c>
      <c r="D39" s="8" t="n">
        <f aca="false">B39*Assumptions!$B$21</f>
        <v>69719.5242119985</v>
      </c>
      <c r="E39" s="8" t="n">
        <f aca="false">C39*Assumptions!$B$20</f>
        <v>29600</v>
      </c>
    </row>
    <row r="40" customFormat="false" ht="15" hidden="false" customHeight="true" outlineLevel="0" collapsed="false">
      <c r="A40" s="3" t="n">
        <v>38</v>
      </c>
      <c r="B40" s="7" t="n">
        <f aca="false">Assumptions!$B$14*Assumptions!$B$15^A40</f>
        <v>624.570737732486</v>
      </c>
      <c r="C40" s="7" t="n">
        <f aca="false">Assumptions!$B$16*A40*Assumptions!$B$18^INT(A40/Assumptions!$B$17)</f>
        <v>760</v>
      </c>
      <c r="D40" s="8" t="n">
        <f aca="false">B40*Assumptions!$B$21</f>
        <v>74948.4885278983</v>
      </c>
      <c r="E40" s="8" t="n">
        <f aca="false">C40*Assumptions!$B$20</f>
        <v>30400</v>
      </c>
    </row>
    <row r="41" customFormat="false" ht="15" hidden="false" customHeight="true" outlineLevel="0" collapsed="false">
      <c r="A41" s="3" t="n">
        <v>39</v>
      </c>
      <c r="B41" s="7" t="n">
        <f aca="false">Assumptions!$B$14*Assumptions!$B$15^A41</f>
        <v>671.413543062423</v>
      </c>
      <c r="C41" s="7" t="n">
        <f aca="false">Assumptions!$B$16*A41*Assumptions!$B$18^INT(A41/Assumptions!$B$17)</f>
        <v>780</v>
      </c>
      <c r="D41" s="8" t="n">
        <f aca="false">B41*Assumptions!$B$21</f>
        <v>80569.6251674907</v>
      </c>
      <c r="E41" s="8" t="n">
        <f aca="false">C41*Assumptions!$B$20</f>
        <v>31200</v>
      </c>
    </row>
    <row r="42" customFormat="false" ht="15" hidden="false" customHeight="true" outlineLevel="0" collapsed="false">
      <c r="A42" s="3" t="n">
        <v>40</v>
      </c>
      <c r="B42" s="7" t="n">
        <f aca="false">Assumptions!$B$14*Assumptions!$B$15^A42</f>
        <v>721.769558792104</v>
      </c>
      <c r="C42" s="7" t="n">
        <f aca="false">Assumptions!$B$16*A42*Assumptions!$B$18^INT(A42/Assumptions!$B$17)</f>
        <v>800</v>
      </c>
      <c r="D42" s="8" t="n">
        <f aca="false">B42*Assumptions!$B$21</f>
        <v>86612.3470550525</v>
      </c>
      <c r="E42" s="8" t="n">
        <f aca="false">C42*Assumptions!$B$20</f>
        <v>32000</v>
      </c>
    </row>
    <row r="43" customFormat="false" ht="15" hidden="false" customHeight="true" outlineLevel="0" collapsed="false">
      <c r="A43" s="3" t="n">
        <v>41</v>
      </c>
      <c r="B43" s="7" t="n">
        <f aca="false">Assumptions!$B$14*Assumptions!$B$15^A43</f>
        <v>775.902275701512</v>
      </c>
      <c r="C43" s="7" t="n">
        <f aca="false">Assumptions!$B$16*A43*Assumptions!$B$18^INT(A43/Assumptions!$B$17)</f>
        <v>820</v>
      </c>
      <c r="D43" s="8" t="n">
        <f aca="false">B43*Assumptions!$B$21</f>
        <v>93108.2730841815</v>
      </c>
      <c r="E43" s="8" t="n">
        <f aca="false">C43*Assumptions!$B$20</f>
        <v>32800</v>
      </c>
    </row>
    <row r="44" customFormat="false" ht="15" hidden="false" customHeight="true" outlineLevel="0" collapsed="false">
      <c r="A44" s="3" t="n">
        <v>42</v>
      </c>
      <c r="B44" s="7" t="n">
        <f aca="false">Assumptions!$B$14*Assumptions!$B$15^A44</f>
        <v>834.094946379126</v>
      </c>
      <c r="C44" s="7" t="n">
        <f aca="false">Assumptions!$B$16*A44*Assumptions!$B$18^INT(A44/Assumptions!$B$17)</f>
        <v>840</v>
      </c>
      <c r="D44" s="8" t="n">
        <f aca="false">B44*Assumptions!$B$21</f>
        <v>100091.393565495</v>
      </c>
      <c r="E44" s="8" t="n">
        <f aca="false">C44*Assumptions!$B$20</f>
        <v>33600</v>
      </c>
    </row>
    <row r="45" customFormat="false" ht="15" hidden="false" customHeight="true" outlineLevel="0" collapsed="false">
      <c r="A45" s="3" t="n">
        <v>43</v>
      </c>
      <c r="B45" s="7" t="n">
        <f aca="false">Assumptions!$B$14*Assumptions!$B$15^A45</f>
        <v>896.65206735756</v>
      </c>
      <c r="C45" s="7" t="n">
        <f aca="false">Assumptions!$B$16*A45*Assumptions!$B$18^INT(A45/Assumptions!$B$17)</f>
        <v>860</v>
      </c>
      <c r="D45" s="8" t="n">
        <f aca="false">B45*Assumptions!$B$21</f>
        <v>107598.248082907</v>
      </c>
      <c r="E45" s="8" t="n">
        <f aca="false">C45*Assumptions!$B$20</f>
        <v>34400</v>
      </c>
    </row>
    <row r="46" customFormat="false" ht="15" hidden="false" customHeight="true" outlineLevel="0" collapsed="false">
      <c r="A46" s="3" t="n">
        <v>44</v>
      </c>
      <c r="B46" s="7" t="n">
        <f aca="false">Assumptions!$B$14*Assumptions!$B$15^A46</f>
        <v>963.900972409377</v>
      </c>
      <c r="C46" s="7" t="n">
        <f aca="false">Assumptions!$B$16*A46*Assumptions!$B$18^INT(A46/Assumptions!$B$17)</f>
        <v>880</v>
      </c>
      <c r="D46" s="8" t="n">
        <f aca="false">B46*Assumptions!$B$21</f>
        <v>115668.116689125</v>
      </c>
      <c r="E46" s="8" t="n">
        <f aca="false">C46*Assumptions!$B$20</f>
        <v>35200</v>
      </c>
    </row>
    <row r="47" customFormat="false" ht="15" hidden="false" customHeight="true" outlineLevel="0" collapsed="false">
      <c r="A47" s="3" t="n">
        <v>45</v>
      </c>
      <c r="B47" s="7" t="n">
        <f aca="false">Assumptions!$B$14*Assumptions!$B$15^A47</f>
        <v>1036.19354534008</v>
      </c>
      <c r="C47" s="7" t="n">
        <f aca="false">Assumptions!$B$16*A47*Assumptions!$B$18^INT(A47/Assumptions!$B$17)</f>
        <v>900</v>
      </c>
      <c r="D47" s="8" t="n">
        <f aca="false">B47*Assumptions!$B$21</f>
        <v>124343.22544081</v>
      </c>
      <c r="E47" s="8" t="n">
        <f aca="false">C47*Assumptions!$B$20</f>
        <v>36000</v>
      </c>
    </row>
    <row r="48" customFormat="false" ht="15" hidden="false" customHeight="true" outlineLevel="0" collapsed="false">
      <c r="A48" s="3" t="n">
        <v>46</v>
      </c>
      <c r="B48" s="7" t="n">
        <f aca="false">Assumptions!$B$14*Assumptions!$B$15^A48</f>
        <v>1113.90806124059</v>
      </c>
      <c r="C48" s="7" t="n">
        <f aca="false">Assumptions!$B$16*A48*Assumptions!$B$18^INT(A48/Assumptions!$B$17)</f>
        <v>920</v>
      </c>
      <c r="D48" s="8" t="n">
        <f aca="false">B48*Assumptions!$B$21</f>
        <v>133668.96734887</v>
      </c>
      <c r="E48" s="8" t="n">
        <f aca="false">C48*Assumptions!$B$20</f>
        <v>36800</v>
      </c>
    </row>
    <row r="49" customFormat="false" ht="15" hidden="false" customHeight="true" outlineLevel="0" collapsed="false">
      <c r="A49" s="3" t="n">
        <v>47</v>
      </c>
      <c r="B49" s="7" t="n">
        <f aca="false">Assumptions!$B$14*Assumptions!$B$15^A49</f>
        <v>1197.45116583363</v>
      </c>
      <c r="C49" s="7" t="n">
        <f aca="false">Assumptions!$B$16*A49*Assumptions!$B$18^INT(A49/Assumptions!$B$17)</f>
        <v>940</v>
      </c>
      <c r="D49" s="8" t="n">
        <f aca="false">B49*Assumptions!$B$21</f>
        <v>143694.139900036</v>
      </c>
      <c r="E49" s="8" t="n">
        <f aca="false">C49*Assumptions!$B$20</f>
        <v>37600</v>
      </c>
    </row>
    <row r="50" customFormat="false" ht="15" hidden="false" customHeight="true" outlineLevel="0" collapsed="false">
      <c r="A50" s="3" t="n">
        <v>48</v>
      </c>
      <c r="B50" s="7" t="n">
        <f aca="false">Assumptions!$B$14*Assumptions!$B$15^A50</f>
        <v>1287.26000327115</v>
      </c>
      <c r="C50" s="7" t="n">
        <f aca="false">Assumptions!$B$16*A50*Assumptions!$B$18^INT(A50/Assumptions!$B$17)</f>
        <v>960</v>
      </c>
      <c r="D50" s="8" t="n">
        <f aca="false">B50*Assumptions!$B$21</f>
        <v>154471.200392538</v>
      </c>
      <c r="E50" s="8" t="n">
        <f aca="false">C50*Assumptions!$B$20</f>
        <v>38400</v>
      </c>
    </row>
    <row r="51" customFormat="false" ht="15" hidden="false" customHeight="true" outlineLevel="0" collapsed="false">
      <c r="A51" s="3" t="n">
        <v>49</v>
      </c>
      <c r="B51" s="7" t="n">
        <f aca="false">Assumptions!$B$14*Assumptions!$B$15^A51</f>
        <v>1383.80450351649</v>
      </c>
      <c r="C51" s="7" t="n">
        <f aca="false">Assumptions!$B$16*A51*Assumptions!$B$18^INT(A51/Assumptions!$B$17)</f>
        <v>980</v>
      </c>
      <c r="D51" s="8" t="n">
        <f aca="false">B51*Assumptions!$B$21</f>
        <v>166056.540421979</v>
      </c>
      <c r="E51" s="8" t="n">
        <f aca="false">C51*Assumptions!$B$20</f>
        <v>39200</v>
      </c>
    </row>
    <row r="52" customFormat="false" ht="15" hidden="false" customHeight="true" outlineLevel="0" collapsed="false">
      <c r="A52" s="3" t="n">
        <v>50</v>
      </c>
      <c r="B52" s="7" t="n">
        <f aca="false">Assumptions!$B$14*Assumptions!$B$15^A52</f>
        <v>1487.58984128023</v>
      </c>
      <c r="C52" s="7" t="n">
        <f aca="false">Assumptions!$B$16*A52*Assumptions!$B$18^INT(A52/Assumptions!$B$17)</f>
        <v>4000</v>
      </c>
      <c r="D52" s="8" t="n">
        <f aca="false">B52*Assumptions!$B$21</f>
        <v>178510.780953627</v>
      </c>
      <c r="E52" s="8" t="n">
        <f aca="false">C52*Assumptions!$B$20</f>
        <v>160000</v>
      </c>
    </row>
    <row r="53" customFormat="false" ht="15" hidden="false" customHeight="true" outlineLevel="0" collapsed="false">
      <c r="A53" s="3" t="n">
        <v>51</v>
      </c>
      <c r="B53" s="7" t="n">
        <f aca="false">Assumptions!$B$14*Assumptions!$B$15^A53</f>
        <v>1599.15907937624</v>
      </c>
      <c r="C53" s="7" t="n">
        <f aca="false">Assumptions!$B$16*A53*Assumptions!$B$18^INT(A53/Assumptions!$B$17)</f>
        <v>4080</v>
      </c>
      <c r="D53" s="8" t="n">
        <f aca="false">B53*Assumptions!$B$21</f>
        <v>191899.089525149</v>
      </c>
      <c r="E53" s="8" t="n">
        <f aca="false">C53*Assumptions!$B$20</f>
        <v>163200</v>
      </c>
    </row>
    <row r="54" customFormat="false" ht="15" hidden="false" customHeight="true" outlineLevel="0" collapsed="false">
      <c r="A54" s="3" t="n">
        <v>52</v>
      </c>
      <c r="B54" s="7" t="n">
        <f aca="false">Assumptions!$B$14*Assumptions!$B$15^A54</f>
        <v>1719.09601032946</v>
      </c>
      <c r="C54" s="7" t="n">
        <f aca="false">Assumptions!$B$16*A54*Assumptions!$B$18^INT(A54/Assumptions!$B$17)</f>
        <v>4160</v>
      </c>
      <c r="D54" s="8" t="n">
        <f aca="false">B54*Assumptions!$B$21</f>
        <v>206291.521239535</v>
      </c>
      <c r="E54" s="8" t="n">
        <f aca="false">C54*Assumptions!$B$20</f>
        <v>166400</v>
      </c>
    </row>
    <row r="55" customFormat="false" ht="15" hidden="false" customHeight="true" outlineLevel="0" collapsed="false">
      <c r="A55" s="3" t="n">
        <v>53</v>
      </c>
      <c r="B55" s="7" t="n">
        <f aca="false">Assumptions!$B$14*Assumptions!$B$15^A55</f>
        <v>1848.02821110417</v>
      </c>
      <c r="C55" s="7" t="n">
        <f aca="false">Assumptions!$B$16*A55*Assumptions!$B$18^INT(A55/Assumptions!$B$17)</f>
        <v>4240</v>
      </c>
      <c r="D55" s="8" t="n">
        <f aca="false">B55*Assumptions!$B$21</f>
        <v>221763.3853325</v>
      </c>
      <c r="E55" s="8" t="n">
        <f aca="false">C55*Assumptions!$B$20</f>
        <v>169600</v>
      </c>
    </row>
    <row r="56" customFormat="false" ht="15" hidden="false" customHeight="true" outlineLevel="0" collapsed="false">
      <c r="A56" s="3" t="n">
        <v>54</v>
      </c>
      <c r="B56" s="7" t="n">
        <f aca="false">Assumptions!$B$14*Assumptions!$B$15^A56</f>
        <v>1986.63032693698</v>
      </c>
      <c r="C56" s="7" t="n">
        <f aca="false">Assumptions!$B$16*A56*Assumptions!$B$18^INT(A56/Assumptions!$B$17)</f>
        <v>4320</v>
      </c>
      <c r="D56" s="8" t="n">
        <f aca="false">B56*Assumptions!$B$21</f>
        <v>238395.639232438</v>
      </c>
      <c r="E56" s="8" t="n">
        <f aca="false">C56*Assumptions!$B$20</f>
        <v>172800</v>
      </c>
    </row>
    <row r="57" customFormat="false" ht="15" hidden="false" customHeight="true" outlineLevel="0" collapsed="false">
      <c r="A57" s="3" t="n">
        <v>55</v>
      </c>
      <c r="B57" s="7" t="n">
        <f aca="false">Assumptions!$B$14*Assumptions!$B$15^A57</f>
        <v>2135.62760145726</v>
      </c>
      <c r="C57" s="7" t="n">
        <f aca="false">Assumptions!$B$16*A57*Assumptions!$B$18^INT(A57/Assumptions!$B$17)</f>
        <v>4400</v>
      </c>
      <c r="D57" s="8" t="n">
        <f aca="false">B57*Assumptions!$B$21</f>
        <v>256275.312174871</v>
      </c>
      <c r="E57" s="8" t="n">
        <f aca="false">C57*Assumptions!$B$20</f>
        <v>176000</v>
      </c>
    </row>
    <row r="58" customFormat="false" ht="15" hidden="false" customHeight="true" outlineLevel="0" collapsed="false">
      <c r="A58" s="3" t="n">
        <v>56</v>
      </c>
      <c r="B58" s="7" t="n">
        <f aca="false">Assumptions!$B$14*Assumptions!$B$15^A58</f>
        <v>2295.79967156655</v>
      </c>
      <c r="C58" s="7" t="n">
        <f aca="false">Assumptions!$B$16*A58*Assumptions!$B$18^INT(A58/Assumptions!$B$17)</f>
        <v>4480</v>
      </c>
      <c r="D58" s="8" t="n">
        <f aca="false">B58*Assumptions!$B$21</f>
        <v>275495.960587986</v>
      </c>
      <c r="E58" s="8" t="n">
        <f aca="false">C58*Assumptions!$B$20</f>
        <v>179200</v>
      </c>
    </row>
    <row r="59" customFormat="false" ht="15" hidden="false" customHeight="true" outlineLevel="0" collapsed="false">
      <c r="A59" s="3" t="n">
        <v>57</v>
      </c>
      <c r="B59" s="7" t="n">
        <f aca="false">Assumptions!$B$14*Assumptions!$B$15^A59</f>
        <v>2467.98464693404</v>
      </c>
      <c r="C59" s="7" t="n">
        <f aca="false">Assumptions!$B$16*A59*Assumptions!$B$18^INT(A59/Assumptions!$B$17)</f>
        <v>4560</v>
      </c>
      <c r="D59" s="8" t="n">
        <f aca="false">B59*Assumptions!$B$21</f>
        <v>296158.157632085</v>
      </c>
      <c r="E59" s="8" t="n">
        <f aca="false">C59*Assumptions!$B$20</f>
        <v>182400</v>
      </c>
    </row>
    <row r="60" customFormat="false" ht="15" hidden="false" customHeight="true" outlineLevel="0" collapsed="false">
      <c r="A60" s="3" t="n">
        <v>58</v>
      </c>
      <c r="B60" s="7" t="n">
        <f aca="false">Assumptions!$B$14*Assumptions!$B$15^A60</f>
        <v>2653.08349545409</v>
      </c>
      <c r="C60" s="7" t="n">
        <f aca="false">Assumptions!$B$16*A60*Assumptions!$B$18^INT(A60/Assumptions!$B$17)</f>
        <v>4640</v>
      </c>
      <c r="D60" s="8" t="n">
        <f aca="false">B60*Assumptions!$B$21</f>
        <v>318370.019454491</v>
      </c>
      <c r="E60" s="8" t="n">
        <f aca="false">C60*Assumptions!$B$20</f>
        <v>185600</v>
      </c>
    </row>
    <row r="61" customFormat="false" ht="15" hidden="false" customHeight="true" outlineLevel="0" collapsed="false">
      <c r="A61" s="3" t="n">
        <v>59</v>
      </c>
      <c r="B61" s="7" t="n">
        <f aca="false">Assumptions!$B$14*Assumptions!$B$15^A61</f>
        <v>2852.06475761315</v>
      </c>
      <c r="C61" s="7" t="n">
        <f aca="false">Assumptions!$B$16*A61*Assumptions!$B$18^INT(A61/Assumptions!$B$17)</f>
        <v>4720</v>
      </c>
      <c r="D61" s="8" t="n">
        <f aca="false">B61*Assumptions!$B$21</f>
        <v>342247.770913578</v>
      </c>
      <c r="E61" s="8" t="n">
        <f aca="false">C61*Assumptions!$B$20</f>
        <v>188800</v>
      </c>
    </row>
    <row r="62" customFormat="false" ht="15" hidden="false" customHeight="true" outlineLevel="0" collapsed="false">
      <c r="A62" s="3" t="n">
        <v>60</v>
      </c>
      <c r="B62" s="7" t="n">
        <f aca="false">Assumptions!$B$14*Assumptions!$B$15^A62</f>
        <v>3065.96961443414</v>
      </c>
      <c r="C62" s="7" t="n">
        <f aca="false">Assumptions!$B$16*A62*Assumptions!$B$18^INT(A62/Assumptions!$B$17)</f>
        <v>4800</v>
      </c>
      <c r="D62" s="8" t="n">
        <f aca="false">B62*Assumptions!$B$21</f>
        <v>367916.353732096</v>
      </c>
      <c r="E62" s="8" t="n">
        <f aca="false">C62*Assumptions!$B$20</f>
        <v>192000</v>
      </c>
    </row>
    <row r="63" customFormat="false" ht="15" hidden="false" customHeight="true" outlineLevel="0" collapsed="false">
      <c r="A63" s="3" t="n">
        <v>61</v>
      </c>
      <c r="B63" s="7" t="n">
        <f aca="false">Assumptions!$B$14*Assumptions!$B$15^A63</f>
        <v>3295.9173355167</v>
      </c>
      <c r="C63" s="7" t="n">
        <f aca="false">Assumptions!$B$16*A63*Assumptions!$B$18^INT(A63/Assumptions!$B$17)</f>
        <v>4880</v>
      </c>
      <c r="D63" s="8" t="n">
        <f aca="false">B63*Assumptions!$B$21</f>
        <v>395510.080262004</v>
      </c>
      <c r="E63" s="8" t="n">
        <f aca="false">C63*Assumptions!$B$20</f>
        <v>195200</v>
      </c>
    </row>
    <row r="64" customFormat="false" ht="15" hidden="false" customHeight="true" outlineLevel="0" collapsed="false">
      <c r="A64" s="3" t="n">
        <v>62</v>
      </c>
      <c r="B64" s="7" t="n">
        <f aca="false">Assumptions!$B$14*Assumptions!$B$15^A64</f>
        <v>3543.11113568045</v>
      </c>
      <c r="C64" s="7" t="n">
        <f aca="false">Assumptions!$B$16*A64*Assumptions!$B$18^INT(A64/Assumptions!$B$17)</f>
        <v>4960</v>
      </c>
      <c r="D64" s="8" t="n">
        <f aca="false">B64*Assumptions!$B$21</f>
        <v>425173.336281654</v>
      </c>
      <c r="E64" s="8" t="n">
        <f aca="false">C64*Assumptions!$B$20</f>
        <v>198400</v>
      </c>
    </row>
    <row r="65" customFormat="false" ht="15" hidden="false" customHeight="true" outlineLevel="0" collapsed="false">
      <c r="A65" s="3" t="n">
        <v>63</v>
      </c>
      <c r="B65" s="7" t="n">
        <f aca="false">Assumptions!$B$14*Assumptions!$B$15^A65</f>
        <v>3808.84447085648</v>
      </c>
      <c r="C65" s="7" t="n">
        <f aca="false">Assumptions!$B$16*A65*Assumptions!$B$18^INT(A65/Assumptions!$B$17)</f>
        <v>5040</v>
      </c>
      <c r="D65" s="8" t="n">
        <f aca="false">B65*Assumptions!$B$21</f>
        <v>457061.336502778</v>
      </c>
      <c r="E65" s="8" t="n">
        <f aca="false">C65*Assumptions!$B$20</f>
        <v>201600</v>
      </c>
    </row>
    <row r="66" customFormat="false" ht="15" hidden="false" customHeight="true" outlineLevel="0" collapsed="false">
      <c r="A66" s="3" t="n">
        <v>64</v>
      </c>
      <c r="B66" s="7" t="n">
        <f aca="false">Assumptions!$B$14*Assumptions!$B$15^A66</f>
        <v>4094.50780617072</v>
      </c>
      <c r="C66" s="7" t="n">
        <f aca="false">Assumptions!$B$16*A66*Assumptions!$B$18^INT(A66/Assumptions!$B$17)</f>
        <v>5120</v>
      </c>
      <c r="D66" s="8" t="n">
        <f aca="false">B66*Assumptions!$B$21</f>
        <v>491340.936740486</v>
      </c>
      <c r="E66" s="8" t="n">
        <f aca="false">C66*Assumptions!$B$20</f>
        <v>204800</v>
      </c>
    </row>
    <row r="67" customFormat="false" ht="15" hidden="false" customHeight="true" outlineLevel="0" collapsed="false">
      <c r="A67" s="3" t="n">
        <v>65</v>
      </c>
      <c r="B67" s="7" t="n">
        <f aca="false">Assumptions!$B$14*Assumptions!$B$15^A67</f>
        <v>4401.59589163352</v>
      </c>
      <c r="C67" s="7" t="n">
        <f aca="false">Assumptions!$B$16*A67*Assumptions!$B$18^INT(A67/Assumptions!$B$17)</f>
        <v>5200</v>
      </c>
      <c r="D67" s="8" t="n">
        <f aca="false">B67*Assumptions!$B$21</f>
        <v>528191.506996023</v>
      </c>
      <c r="E67" s="8" t="n">
        <f aca="false">C67*Assumptions!$B$20</f>
        <v>208000</v>
      </c>
    </row>
    <row r="68" customFormat="false" ht="15" hidden="false" customHeight="true" outlineLevel="0" collapsed="false">
      <c r="A68" s="3" t="n">
        <v>66</v>
      </c>
      <c r="B68" s="7" t="n">
        <f aca="false">Assumptions!$B$14*Assumptions!$B$15^A68</f>
        <v>4731.71558350604</v>
      </c>
      <c r="C68" s="7" t="n">
        <f aca="false">Assumptions!$B$16*A68*Assumptions!$B$18^INT(A68/Assumptions!$B$17)</f>
        <v>5280</v>
      </c>
      <c r="D68" s="8" t="n">
        <f aca="false">B68*Assumptions!$B$21</f>
        <v>567805.870020724</v>
      </c>
      <c r="E68" s="8" t="n">
        <f aca="false">C68*Assumptions!$B$20</f>
        <v>211200</v>
      </c>
    </row>
    <row r="69" customFormat="false" ht="15" hidden="false" customHeight="true" outlineLevel="0" collapsed="false">
      <c r="A69" s="3" t="n">
        <v>67</v>
      </c>
      <c r="B69" s="7" t="n">
        <f aca="false">Assumptions!$B$14*Assumptions!$B$15^A69</f>
        <v>5086.59425226899</v>
      </c>
      <c r="C69" s="7" t="n">
        <f aca="false">Assumptions!$B$16*A69*Assumptions!$B$18^INT(A69/Assumptions!$B$17)</f>
        <v>5360</v>
      </c>
      <c r="D69" s="8" t="n">
        <f aca="false">B69*Assumptions!$B$21</f>
        <v>610391.310272279</v>
      </c>
      <c r="E69" s="8" t="n">
        <f aca="false">C69*Assumptions!$B$20</f>
        <v>214400</v>
      </c>
    </row>
    <row r="70" customFormat="false" ht="15" hidden="false" customHeight="true" outlineLevel="0" collapsed="false">
      <c r="A70" s="3" t="n">
        <v>68</v>
      </c>
      <c r="B70" s="7" t="n">
        <f aca="false">Assumptions!$B$14*Assumptions!$B$15^A70</f>
        <v>5468.08882118916</v>
      </c>
      <c r="C70" s="7" t="n">
        <f aca="false">Assumptions!$B$16*A70*Assumptions!$B$18^INT(A70/Assumptions!$B$17)</f>
        <v>5440</v>
      </c>
      <c r="D70" s="8" t="n">
        <f aca="false">B70*Assumptions!$B$21</f>
        <v>656170.6585427</v>
      </c>
      <c r="E70" s="8" t="n">
        <f aca="false">C70*Assumptions!$B$20</f>
        <v>217600</v>
      </c>
    </row>
    <row r="71" customFormat="false" ht="15" hidden="false" customHeight="true" outlineLevel="0" collapsed="false">
      <c r="A71" s="3" t="n">
        <v>69</v>
      </c>
      <c r="B71" s="7" t="n">
        <f aca="false">Assumptions!$B$14*Assumptions!$B$15^A71</f>
        <v>5878.19548277835</v>
      </c>
      <c r="C71" s="7" t="n">
        <f aca="false">Assumptions!$B$16*A71*Assumptions!$B$18^INT(A71/Assumptions!$B$17)</f>
        <v>5520</v>
      </c>
      <c r="D71" s="8" t="n">
        <f aca="false">B71*Assumptions!$B$21</f>
        <v>705383.457933402</v>
      </c>
      <c r="E71" s="8" t="n">
        <f aca="false">C71*Assumptions!$B$20</f>
        <v>220800</v>
      </c>
    </row>
    <row r="72" customFormat="false" ht="15" hidden="false" customHeight="true" outlineLevel="0" collapsed="false">
      <c r="A72" s="3" t="n">
        <v>70</v>
      </c>
      <c r="B72" s="7" t="n">
        <f aca="false">Assumptions!$B$14*Assumptions!$B$15^A72</f>
        <v>6319.06014398673</v>
      </c>
      <c r="C72" s="7" t="n">
        <f aca="false">Assumptions!$B$16*A72*Assumptions!$B$18^INT(A72/Assumptions!$B$17)</f>
        <v>5600</v>
      </c>
      <c r="D72" s="8" t="n">
        <f aca="false">B72*Assumptions!$B$21</f>
        <v>758287.217278407</v>
      </c>
      <c r="E72" s="8" t="n">
        <f aca="false">C72*Assumptions!$B$20</f>
        <v>224000</v>
      </c>
    </row>
    <row r="73" customFormat="false" ht="15" hidden="false" customHeight="true" outlineLevel="0" collapsed="false">
      <c r="A73" s="3" t="n">
        <v>71</v>
      </c>
      <c r="B73" s="7" t="n">
        <f aca="false">Assumptions!$B$14*Assumptions!$B$15^A73</f>
        <v>6792.98965478573</v>
      </c>
      <c r="C73" s="7" t="n">
        <f aca="false">Assumptions!$B$16*A73*Assumptions!$B$18^INT(A73/Assumptions!$B$17)</f>
        <v>5680</v>
      </c>
      <c r="D73" s="8" t="n">
        <f aca="false">B73*Assumptions!$B$21</f>
        <v>815158.758574288</v>
      </c>
      <c r="E73" s="8" t="n">
        <f aca="false">C73*Assumptions!$B$20</f>
        <v>227200</v>
      </c>
    </row>
    <row r="74" customFormat="false" ht="15" hidden="false" customHeight="true" outlineLevel="0" collapsed="false">
      <c r="A74" s="3" t="n">
        <v>72</v>
      </c>
      <c r="B74" s="7" t="n">
        <f aca="false">Assumptions!$B$14*Assumptions!$B$15^A74</f>
        <v>7302.46387889466</v>
      </c>
      <c r="C74" s="7" t="n">
        <f aca="false">Assumptions!$B$16*A74*Assumptions!$B$18^INT(A74/Assumptions!$B$17)</f>
        <v>5760</v>
      </c>
      <c r="D74" s="8" t="n">
        <f aca="false">B74*Assumptions!$B$21</f>
        <v>876295.665467359</v>
      </c>
      <c r="E74" s="8" t="n">
        <f aca="false">C74*Assumptions!$B$20</f>
        <v>230400</v>
      </c>
    </row>
    <row r="75" customFormat="false" ht="15" hidden="false" customHeight="true" outlineLevel="0" collapsed="false">
      <c r="A75" s="3" t="n">
        <v>73</v>
      </c>
      <c r="B75" s="7" t="n">
        <f aca="false">Assumptions!$B$14*Assumptions!$B$15^A75</f>
        <v>7850.14866981176</v>
      </c>
      <c r="C75" s="7" t="n">
        <f aca="false">Assumptions!$B$16*A75*Assumptions!$B$18^INT(A75/Assumptions!$B$17)</f>
        <v>5840</v>
      </c>
      <c r="D75" s="8" t="n">
        <f aca="false">B75*Assumptions!$B$21</f>
        <v>942017.840377411</v>
      </c>
      <c r="E75" s="8" t="n">
        <f aca="false">C75*Assumptions!$B$20</f>
        <v>233600</v>
      </c>
    </row>
    <row r="76" customFormat="false" ht="15" hidden="false" customHeight="true" outlineLevel="0" collapsed="false">
      <c r="A76" s="3" t="n">
        <v>74</v>
      </c>
      <c r="B76" s="7" t="n">
        <f aca="false">Assumptions!$B$14*Assumptions!$B$15^A76</f>
        <v>8438.90982004764</v>
      </c>
      <c r="C76" s="7" t="n">
        <f aca="false">Assumptions!$B$16*A76*Assumptions!$B$18^INT(A76/Assumptions!$B$17)</f>
        <v>5920</v>
      </c>
      <c r="D76" s="8" t="n">
        <f aca="false">B76*Assumptions!$B$21</f>
        <v>1012669.17840572</v>
      </c>
      <c r="E76" s="8" t="n">
        <f aca="false">C76*Assumptions!$B$20</f>
        <v>236800</v>
      </c>
    </row>
    <row r="77" customFormat="false" ht="15" hidden="false" customHeight="true" outlineLevel="0" collapsed="false">
      <c r="A77" s="3" t="n">
        <v>75</v>
      </c>
      <c r="B77" s="7" t="n">
        <f aca="false">Assumptions!$B$14*Assumptions!$B$15^A77</f>
        <v>9071.82805655121</v>
      </c>
      <c r="C77" s="7" t="n">
        <f aca="false">Assumptions!$B$16*A77*Assumptions!$B$18^INT(A77/Assumptions!$B$17)</f>
        <v>24000</v>
      </c>
      <c r="D77" s="8" t="n">
        <f aca="false">B77*Assumptions!$B$21</f>
        <v>1088619.36678615</v>
      </c>
      <c r="E77" s="8" t="n">
        <f aca="false">C77*Assumptions!$B$20</f>
        <v>960000</v>
      </c>
    </row>
    <row r="78" customFormat="false" ht="15" hidden="false" customHeight="true" outlineLevel="0" collapsed="false">
      <c r="A78" s="3" t="n">
        <v>76</v>
      </c>
      <c r="B78" s="7" t="n">
        <f aca="false">Assumptions!$B$14*Assumptions!$B$15^A78</f>
        <v>9752.21516079255</v>
      </c>
      <c r="C78" s="7" t="n">
        <f aca="false">Assumptions!$B$16*A78*Assumptions!$B$18^INT(A78/Assumptions!$B$17)</f>
        <v>24320</v>
      </c>
      <c r="D78" s="8" t="n">
        <f aca="false">B78*Assumptions!$B$21</f>
        <v>1170265.81929511</v>
      </c>
      <c r="E78" s="8" t="n">
        <f aca="false">C78*Assumptions!$B$20</f>
        <v>972800</v>
      </c>
    </row>
    <row r="79" customFormat="false" ht="15" hidden="false" customHeight="true" outlineLevel="0" collapsed="false">
      <c r="A79" s="3" t="n">
        <v>77</v>
      </c>
      <c r="B79" s="7" t="n">
        <f aca="false">Assumptions!$B$14*Assumptions!$B$15^A79</f>
        <v>10483.631297852</v>
      </c>
      <c r="C79" s="7" t="n">
        <f aca="false">Assumptions!$B$16*A79*Assumptions!$B$18^INT(A79/Assumptions!$B$17)</f>
        <v>24640</v>
      </c>
      <c r="D79" s="8" t="n">
        <f aca="false">B79*Assumptions!$B$21</f>
        <v>1258035.75574224</v>
      </c>
      <c r="E79" s="8" t="n">
        <f aca="false">C79*Assumptions!$B$20</f>
        <v>985600</v>
      </c>
    </row>
    <row r="80" customFormat="false" ht="15" hidden="false" customHeight="true" outlineLevel="0" collapsed="false">
      <c r="A80" s="3" t="n">
        <v>78</v>
      </c>
      <c r="B80" s="7" t="n">
        <f aca="false">Assumptions!$B$14*Assumptions!$B$15^A80</f>
        <v>11269.9036451909</v>
      </c>
      <c r="C80" s="7" t="n">
        <f aca="false">Assumptions!$B$16*A80*Assumptions!$B$18^INT(A80/Assumptions!$B$17)</f>
        <v>24960</v>
      </c>
      <c r="D80" s="8" t="n">
        <f aca="false">B80*Assumptions!$B$21</f>
        <v>1352388.43742291</v>
      </c>
      <c r="E80" s="8" t="n">
        <f aca="false">C80*Assumptions!$B$20</f>
        <v>998400</v>
      </c>
    </row>
    <row r="81" customFormat="false" ht="15" hidden="false" customHeight="true" outlineLevel="0" collapsed="false">
      <c r="A81" s="3" t="n">
        <v>79</v>
      </c>
      <c r="B81" s="7" t="n">
        <f aca="false">Assumptions!$B$14*Assumptions!$B$15^A81</f>
        <v>12115.1464185802</v>
      </c>
      <c r="C81" s="7" t="n">
        <f aca="false">Assumptions!$B$16*A81*Assumptions!$B$18^INT(A81/Assumptions!$B$17)</f>
        <v>25280</v>
      </c>
      <c r="D81" s="8" t="n">
        <f aca="false">B81*Assumptions!$B$21</f>
        <v>1453817.57022963</v>
      </c>
      <c r="E81" s="8" t="n">
        <f aca="false">C81*Assumptions!$B$20</f>
        <v>1011200</v>
      </c>
    </row>
    <row r="82" customFormat="false" ht="15" hidden="false" customHeight="true" outlineLevel="0" collapsed="false">
      <c r="A82" s="3" t="n">
        <v>80</v>
      </c>
      <c r="B82" s="7" t="n">
        <f aca="false">Assumptions!$B$14*Assumptions!$B$15^A82</f>
        <v>13023.7823999737</v>
      </c>
      <c r="C82" s="7" t="n">
        <f aca="false">Assumptions!$B$16*A82*Assumptions!$B$18^INT(A82/Assumptions!$B$17)</f>
        <v>25600</v>
      </c>
      <c r="D82" s="8" t="n">
        <f aca="false">B82*Assumptions!$B$21</f>
        <v>1562853.88799685</v>
      </c>
      <c r="E82" s="8" t="n">
        <f aca="false">C82*Assumptions!$B$20</f>
        <v>1024000</v>
      </c>
    </row>
    <row r="83" customFormat="false" ht="15" hidden="false" customHeight="true" outlineLevel="0" collapsed="false">
      <c r="A83" s="3" t="n">
        <v>81</v>
      </c>
      <c r="B83" s="7" t="n">
        <f aca="false">Assumptions!$B$14*Assumptions!$B$15^A83</f>
        <v>14000.5660799718</v>
      </c>
      <c r="C83" s="7" t="n">
        <f aca="false">Assumptions!$B$16*A83*Assumptions!$B$18^INT(A83/Assumptions!$B$17)</f>
        <v>25920</v>
      </c>
      <c r="D83" s="8" t="n">
        <f aca="false">B83*Assumptions!$B$21</f>
        <v>1680067.92959661</v>
      </c>
      <c r="E83" s="8" t="n">
        <f aca="false">C83*Assumptions!$B$20</f>
        <v>1036800</v>
      </c>
    </row>
    <row r="84" customFormat="false" ht="15" hidden="false" customHeight="true" outlineLevel="0" collapsed="false">
      <c r="A84" s="3" t="n">
        <v>82</v>
      </c>
      <c r="B84" s="7" t="n">
        <f aca="false">Assumptions!$B$14*Assumptions!$B$15^A84</f>
        <v>15050.6085359696</v>
      </c>
      <c r="C84" s="7" t="n">
        <f aca="false">Assumptions!$B$16*A84*Assumptions!$B$18^INT(A84/Assumptions!$B$17)</f>
        <v>26240</v>
      </c>
      <c r="D84" s="8" t="n">
        <f aca="false">B84*Assumptions!$B$21</f>
        <v>1806073.02431636</v>
      </c>
      <c r="E84" s="8" t="n">
        <f aca="false">C84*Assumptions!$B$20</f>
        <v>1049600</v>
      </c>
    </row>
    <row r="85" customFormat="false" ht="15" hidden="false" customHeight="true" outlineLevel="0" collapsed="false">
      <c r="A85" s="3" t="n">
        <v>83</v>
      </c>
      <c r="B85" s="7" t="n">
        <f aca="false">Assumptions!$B$14*Assumptions!$B$15^A85</f>
        <v>16179.4041761674</v>
      </c>
      <c r="C85" s="7" t="n">
        <f aca="false">Assumptions!$B$16*A85*Assumptions!$B$18^INT(A85/Assumptions!$B$17)</f>
        <v>26560</v>
      </c>
      <c r="D85" s="8" t="n">
        <f aca="false">B85*Assumptions!$B$21</f>
        <v>1941528.50114008</v>
      </c>
      <c r="E85" s="8" t="n">
        <f aca="false">C85*Assumptions!$B$20</f>
        <v>1062400</v>
      </c>
    </row>
    <row r="86" customFormat="false" ht="15" hidden="false" customHeight="true" outlineLevel="0" collapsed="false">
      <c r="A86" s="3" t="n">
        <v>84</v>
      </c>
      <c r="B86" s="7" t="n">
        <f aca="false">Assumptions!$B$14*Assumptions!$B$15^A86</f>
        <v>17392.8594893799</v>
      </c>
      <c r="C86" s="7" t="n">
        <f aca="false">Assumptions!$B$16*A86*Assumptions!$B$18^INT(A86/Assumptions!$B$17)</f>
        <v>26880</v>
      </c>
      <c r="D86" s="8" t="n">
        <f aca="false">B86*Assumptions!$B$21</f>
        <v>2087143.13872559</v>
      </c>
      <c r="E86" s="8" t="n">
        <f aca="false">C86*Assumptions!$B$20</f>
        <v>1075200</v>
      </c>
    </row>
    <row r="87" customFormat="false" ht="15" hidden="false" customHeight="true" outlineLevel="0" collapsed="false">
      <c r="A87" s="3" t="n">
        <v>85</v>
      </c>
      <c r="B87" s="7" t="n">
        <f aca="false">Assumptions!$B$14*Assumptions!$B$15^A87</f>
        <v>18697.3239510834</v>
      </c>
      <c r="C87" s="7" t="n">
        <f aca="false">Assumptions!$B$16*A87*Assumptions!$B$18^INT(A87/Assumptions!$B$17)</f>
        <v>27200</v>
      </c>
      <c r="D87" s="8" t="n">
        <f aca="false">B87*Assumptions!$B$21</f>
        <v>2243678.87413001</v>
      </c>
      <c r="E87" s="8" t="n">
        <f aca="false">C87*Assumptions!$B$20</f>
        <v>1088000</v>
      </c>
    </row>
    <row r="88" customFormat="false" ht="15" hidden="false" customHeight="true" outlineLevel="0" collapsed="false">
      <c r="A88" s="3" t="n">
        <v>86</v>
      </c>
      <c r="B88" s="7" t="n">
        <f aca="false">Assumptions!$B$14*Assumptions!$B$15^A88</f>
        <v>20099.6232474147</v>
      </c>
      <c r="C88" s="7" t="n">
        <f aca="false">Assumptions!$B$16*A88*Assumptions!$B$18^INT(A88/Assumptions!$B$17)</f>
        <v>27520</v>
      </c>
      <c r="D88" s="8" t="n">
        <f aca="false">B88*Assumptions!$B$21</f>
        <v>2411954.78968976</v>
      </c>
      <c r="E88" s="8" t="n">
        <f aca="false">C88*Assumptions!$B$20</f>
        <v>1100800</v>
      </c>
    </row>
    <row r="89" customFormat="false" ht="15" hidden="false" customHeight="true" outlineLevel="0" collapsed="false">
      <c r="A89" s="3" t="n">
        <v>87</v>
      </c>
      <c r="B89" s="7" t="n">
        <f aca="false">Assumptions!$B$14*Assumptions!$B$15^A89</f>
        <v>21607.0949909708</v>
      </c>
      <c r="C89" s="7" t="n">
        <f aca="false">Assumptions!$B$16*A89*Assumptions!$B$18^INT(A89/Assumptions!$B$17)</f>
        <v>27840</v>
      </c>
      <c r="D89" s="8" t="n">
        <f aca="false">B89*Assumptions!$B$21</f>
        <v>2592851.39891649</v>
      </c>
      <c r="E89" s="8" t="n">
        <f aca="false">C89*Assumptions!$B$20</f>
        <v>1113600</v>
      </c>
    </row>
    <row r="90" customFormat="false" ht="15" hidden="false" customHeight="true" outlineLevel="0" collapsed="false">
      <c r="A90" s="3" t="n">
        <v>88</v>
      </c>
      <c r="B90" s="7" t="n">
        <f aca="false">Assumptions!$B$14*Assumptions!$B$15^A90</f>
        <v>23227.6271152936</v>
      </c>
      <c r="C90" s="7" t="n">
        <f aca="false">Assumptions!$B$16*A90*Assumptions!$B$18^INT(A90/Assumptions!$B$17)</f>
        <v>28160</v>
      </c>
      <c r="D90" s="8" t="n">
        <f aca="false">B90*Assumptions!$B$21</f>
        <v>2787315.25383523</v>
      </c>
      <c r="E90" s="8" t="n">
        <f aca="false">C90*Assumptions!$B$20</f>
        <v>1126400</v>
      </c>
    </row>
    <row r="91" customFormat="false" ht="15" hidden="false" customHeight="true" outlineLevel="0" collapsed="false">
      <c r="A91" s="3" t="n">
        <v>89</v>
      </c>
      <c r="B91" s="7" t="n">
        <f aca="false">Assumptions!$B$14*Assumptions!$B$15^A91</f>
        <v>24969.6991489406</v>
      </c>
      <c r="C91" s="7" t="n">
        <f aca="false">Assumptions!$B$16*A91*Assumptions!$B$18^INT(A91/Assumptions!$B$17)</f>
        <v>28480</v>
      </c>
      <c r="D91" s="8" t="n">
        <f aca="false">B91*Assumptions!$B$21</f>
        <v>2996363.89787287</v>
      </c>
      <c r="E91" s="8" t="n">
        <f aca="false">C91*Assumptions!$B$20</f>
        <v>1139200</v>
      </c>
    </row>
    <row r="92" customFormat="false" ht="15" hidden="false" customHeight="true" outlineLevel="0" collapsed="false">
      <c r="A92" s="3" t="n">
        <v>90</v>
      </c>
      <c r="B92" s="7" t="n">
        <f aca="false">Assumptions!$B$14*Assumptions!$B$15^A92</f>
        <v>26842.4265851111</v>
      </c>
      <c r="C92" s="7" t="n">
        <f aca="false">Assumptions!$B$16*A92*Assumptions!$B$18^INT(A92/Assumptions!$B$17)</f>
        <v>28800</v>
      </c>
      <c r="D92" s="8" t="n">
        <f aca="false">B92*Assumptions!$B$21</f>
        <v>3221091.19021333</v>
      </c>
      <c r="E92" s="8" t="n">
        <f aca="false">C92*Assumptions!$B$20</f>
        <v>1152000</v>
      </c>
    </row>
    <row r="93" customFormat="false" ht="15" hidden="false" customHeight="true" outlineLevel="0" collapsed="false">
      <c r="A93" s="3" t="n">
        <v>91</v>
      </c>
      <c r="B93" s="7" t="n">
        <f aca="false">Assumptions!$B$14*Assumptions!$B$15^A93</f>
        <v>28855.6085789944</v>
      </c>
      <c r="C93" s="7" t="n">
        <f aca="false">Assumptions!$B$16*A93*Assumptions!$B$18^INT(A93/Assumptions!$B$17)</f>
        <v>29120</v>
      </c>
      <c r="D93" s="8" t="n">
        <f aca="false">B93*Assumptions!$B$21</f>
        <v>3462673.02947933</v>
      </c>
      <c r="E93" s="8" t="n">
        <f aca="false">C93*Assumptions!$B$20</f>
        <v>1164800</v>
      </c>
    </row>
    <row r="94" customFormat="false" ht="15" hidden="false" customHeight="true" outlineLevel="0" collapsed="false">
      <c r="A94" s="3" t="n">
        <v>92</v>
      </c>
      <c r="B94" s="7" t="n">
        <f aca="false">Assumptions!$B$14*Assumptions!$B$15^A94</f>
        <v>31019.779222419</v>
      </c>
      <c r="C94" s="7" t="n">
        <f aca="false">Assumptions!$B$16*A94*Assumptions!$B$18^INT(A94/Assumptions!$B$17)</f>
        <v>29440</v>
      </c>
      <c r="D94" s="8" t="n">
        <f aca="false">B94*Assumptions!$B$21</f>
        <v>3722373.50669028</v>
      </c>
      <c r="E94" s="8" t="n">
        <f aca="false">C94*Assumptions!$B$20</f>
        <v>1177600</v>
      </c>
    </row>
    <row r="95" customFormat="false" ht="15" hidden="false" customHeight="true" outlineLevel="0" collapsed="false">
      <c r="A95" s="3" t="n">
        <v>93</v>
      </c>
      <c r="B95" s="7" t="n">
        <f aca="false">Assumptions!$B$14*Assumptions!$B$15^A95</f>
        <v>33346.2626641005</v>
      </c>
      <c r="C95" s="7" t="n">
        <f aca="false">Assumptions!$B$16*A95*Assumptions!$B$18^INT(A95/Assumptions!$B$17)</f>
        <v>29760</v>
      </c>
      <c r="D95" s="8" t="n">
        <f aca="false">B95*Assumptions!$B$21</f>
        <v>4001551.51969205</v>
      </c>
      <c r="E95" s="8" t="n">
        <f aca="false">C95*Assumptions!$B$20</f>
        <v>1190400</v>
      </c>
    </row>
    <row r="96" customFormat="false" ht="15" hidden="false" customHeight="true" outlineLevel="0" collapsed="false">
      <c r="A96" s="3" t="n">
        <v>94</v>
      </c>
      <c r="B96" s="7" t="n">
        <f aca="false">Assumptions!$B$14*Assumptions!$B$15^A96</f>
        <v>35847.232363908</v>
      </c>
      <c r="C96" s="7" t="n">
        <f aca="false">Assumptions!$B$16*A96*Assumptions!$B$18^INT(A96/Assumptions!$B$17)</f>
        <v>30080</v>
      </c>
      <c r="D96" s="8" t="n">
        <f aca="false">B96*Assumptions!$B$21</f>
        <v>4301667.88366896</v>
      </c>
      <c r="E96" s="8" t="n">
        <f aca="false">C96*Assumptions!$B$20</f>
        <v>1203200</v>
      </c>
    </row>
    <row r="97" customFormat="false" ht="15" hidden="false" customHeight="true" outlineLevel="0" collapsed="false">
      <c r="A97" s="3" t="n">
        <v>95</v>
      </c>
      <c r="B97" s="7" t="n">
        <f aca="false">Assumptions!$B$14*Assumptions!$B$15^A97</f>
        <v>38535.7747912011</v>
      </c>
      <c r="C97" s="7" t="n">
        <f aca="false">Assumptions!$B$16*A97*Assumptions!$B$18^INT(A97/Assumptions!$B$17)</f>
        <v>30400</v>
      </c>
      <c r="D97" s="8" t="n">
        <f aca="false">B97*Assumptions!$B$21</f>
        <v>4624292.97494413</v>
      </c>
      <c r="E97" s="8" t="n">
        <f aca="false">C97*Assumptions!$B$20</f>
        <v>1216000</v>
      </c>
    </row>
    <row r="98" customFormat="false" ht="15" hidden="false" customHeight="true" outlineLevel="0" collapsed="false">
      <c r="A98" s="3" t="n">
        <v>96</v>
      </c>
      <c r="B98" s="7" t="n">
        <f aca="false">Assumptions!$B$14*Assumptions!$B$15^A98</f>
        <v>41425.9579005412</v>
      </c>
      <c r="C98" s="7" t="n">
        <f aca="false">Assumptions!$B$16*A98*Assumptions!$B$18^INT(A98/Assumptions!$B$17)</f>
        <v>30720</v>
      </c>
      <c r="D98" s="8" t="n">
        <f aca="false">B98*Assumptions!$B$21</f>
        <v>4971114.94806494</v>
      </c>
      <c r="E98" s="8" t="n">
        <f aca="false">C98*Assumptions!$B$20</f>
        <v>1228800</v>
      </c>
    </row>
    <row r="99" customFormat="false" ht="15" hidden="false" customHeight="true" outlineLevel="0" collapsed="false">
      <c r="A99" s="3" t="n">
        <v>97</v>
      </c>
      <c r="B99" s="7" t="n">
        <f aca="false">Assumptions!$B$14*Assumptions!$B$15^A99</f>
        <v>44532.9047430818</v>
      </c>
      <c r="C99" s="7" t="n">
        <f aca="false">Assumptions!$B$16*A99*Assumptions!$B$18^INT(A99/Assumptions!$B$17)</f>
        <v>31040</v>
      </c>
      <c r="D99" s="8" t="n">
        <f aca="false">B99*Assumptions!$B$21</f>
        <v>5343948.56916981</v>
      </c>
      <c r="E99" s="8" t="n">
        <f aca="false">C99*Assumptions!$B$20</f>
        <v>1241600</v>
      </c>
    </row>
    <row r="100" customFormat="false" ht="15" hidden="false" customHeight="true" outlineLevel="0" collapsed="false">
      <c r="A100" s="3" t="n">
        <v>98</v>
      </c>
      <c r="B100" s="7" t="n">
        <f aca="false">Assumptions!$B$14*Assumptions!$B$15^A100</f>
        <v>47872.8725988129</v>
      </c>
      <c r="C100" s="7" t="n">
        <f aca="false">Assumptions!$B$16*A100*Assumptions!$B$18^INT(A100/Assumptions!$B$17)</f>
        <v>31360</v>
      </c>
      <c r="D100" s="8" t="n">
        <f aca="false">B100*Assumptions!$B$21</f>
        <v>5744744.71185755</v>
      </c>
      <c r="E100" s="8" t="n">
        <f aca="false">C100*Assumptions!$B$20</f>
        <v>1254400</v>
      </c>
    </row>
    <row r="101" customFormat="false" ht="15" hidden="false" customHeight="true" outlineLevel="0" collapsed="false">
      <c r="A101" s="3" t="n">
        <v>99</v>
      </c>
      <c r="B101" s="7" t="n">
        <f aca="false">Assumptions!$B$14*Assumptions!$B$15^A101</f>
        <v>51463.3380437238</v>
      </c>
      <c r="C101" s="7" t="n">
        <f aca="false">Assumptions!$B$16*A101*Assumptions!$B$18^INT(A101/Assumptions!$B$17)</f>
        <v>31680</v>
      </c>
      <c r="D101" s="8" t="n">
        <f aca="false">B101*Assumptions!$B$21</f>
        <v>6175600.56524686</v>
      </c>
      <c r="E101" s="8" t="n">
        <f aca="false">C101*Assumptions!$B$20</f>
        <v>1267200</v>
      </c>
    </row>
    <row r="102" customFormat="false" ht="15" hidden="false" customHeight="true" outlineLevel="0" collapsed="false">
      <c r="A102" s="3" t="n">
        <v>100</v>
      </c>
      <c r="B102" s="7" t="n">
        <f aca="false">Assumptions!$B$14*Assumptions!$B$15^A102</f>
        <v>55323.0883970031</v>
      </c>
      <c r="C102" s="7" t="n">
        <f aca="false">Assumptions!$B$16*A102*Assumptions!$B$18^INT(A102/Assumptions!$B$17)</f>
        <v>128000</v>
      </c>
      <c r="D102" s="8" t="n">
        <f aca="false">B102*Assumptions!$B$21</f>
        <v>6638770.60764038</v>
      </c>
      <c r="E102" s="8" t="n">
        <f aca="false">C102*Assumptions!$B$20</f>
        <v>5120000</v>
      </c>
    </row>
    <row r="103" customFormat="false" ht="15" hidden="false" customHeight="true" outlineLevel="0" collapsed="false">
      <c r="A103" s="3" t="n">
        <v>101</v>
      </c>
      <c r="B103" s="7" t="n">
        <f aca="false">Assumptions!$B$14*Assumptions!$B$15^A103</f>
        <v>59472.3200267784</v>
      </c>
      <c r="C103" s="7" t="n">
        <f aca="false">Assumptions!$B$16*A103*Assumptions!$B$18^INT(A103/Assumptions!$B$17)</f>
        <v>129280</v>
      </c>
      <c r="D103" s="8" t="n">
        <f aca="false">B103*Assumptions!$B$21</f>
        <v>7136678.4032134</v>
      </c>
      <c r="E103" s="8" t="n">
        <f aca="false">C103*Assumptions!$B$20</f>
        <v>5171200</v>
      </c>
    </row>
    <row r="104" customFormat="false" ht="15" hidden="false" customHeight="true" outlineLevel="0" collapsed="false">
      <c r="A104" s="3" t="n">
        <v>102</v>
      </c>
      <c r="B104" s="7" t="n">
        <f aca="false">Assumptions!$B$14*Assumptions!$B$15^A104</f>
        <v>63932.7440287867</v>
      </c>
      <c r="C104" s="7" t="n">
        <f aca="false">Assumptions!$B$16*A104*Assumptions!$B$18^INT(A104/Assumptions!$B$17)</f>
        <v>130560</v>
      </c>
      <c r="D104" s="8" t="n">
        <f aca="false">B104*Assumptions!$B$21</f>
        <v>7671929.28345441</v>
      </c>
      <c r="E104" s="8" t="n">
        <f aca="false">C104*Assumptions!$B$20</f>
        <v>5222400</v>
      </c>
    </row>
    <row r="105" customFormat="false" ht="15" hidden="false" customHeight="true" outlineLevel="0" collapsed="false">
      <c r="A105" s="3" t="n">
        <v>103</v>
      </c>
      <c r="B105" s="7" t="n">
        <f aca="false">Assumptions!$B$14*Assumptions!$B$15^A105</f>
        <v>68727.6998309457</v>
      </c>
      <c r="C105" s="7" t="n">
        <f aca="false">Assumptions!$B$16*A105*Assumptions!$B$18^INT(A105/Assumptions!$B$17)</f>
        <v>131840</v>
      </c>
      <c r="D105" s="8" t="n">
        <f aca="false">B105*Assumptions!$B$21</f>
        <v>8247323.97971349</v>
      </c>
      <c r="E105" s="8" t="n">
        <f aca="false">C105*Assumptions!$B$20</f>
        <v>5273600</v>
      </c>
    </row>
    <row r="106" customFormat="false" ht="15" hidden="false" customHeight="true" outlineLevel="0" collapsed="false">
      <c r="A106" s="3" t="n">
        <v>104</v>
      </c>
      <c r="B106" s="7" t="n">
        <f aca="false">Assumptions!$B$14*Assumptions!$B$15^A106</f>
        <v>73882.2773182667</v>
      </c>
      <c r="C106" s="7" t="n">
        <f aca="false">Assumptions!$B$16*A106*Assumptions!$B$18^INT(A106/Assumptions!$B$17)</f>
        <v>133120</v>
      </c>
      <c r="D106" s="8" t="n">
        <f aca="false">B106*Assumptions!$B$21</f>
        <v>8865873.278192</v>
      </c>
      <c r="E106" s="8" t="n">
        <f aca="false">C106*Assumptions!$B$20</f>
        <v>5324800</v>
      </c>
    </row>
    <row r="107" customFormat="false" ht="15" hidden="false" customHeight="true" outlineLevel="0" collapsed="false">
      <c r="A107" s="3" t="n">
        <v>105</v>
      </c>
      <c r="B107" s="7" t="n">
        <f aca="false">Assumptions!$B$14*Assumptions!$B$15^A107</f>
        <v>79423.4481171367</v>
      </c>
      <c r="C107" s="7" t="n">
        <f aca="false">Assumptions!$B$16*A107*Assumptions!$B$18^INT(A107/Assumptions!$B$17)</f>
        <v>134400</v>
      </c>
      <c r="D107" s="8" t="n">
        <f aca="false">B107*Assumptions!$B$21</f>
        <v>9530813.7740564</v>
      </c>
      <c r="E107" s="8" t="n">
        <f aca="false">C107*Assumptions!$B$20</f>
        <v>5376000</v>
      </c>
    </row>
    <row r="108" customFormat="false" ht="15" hidden="false" customHeight="true" outlineLevel="0" collapsed="false">
      <c r="A108" s="3" t="n">
        <v>106</v>
      </c>
      <c r="B108" s="7" t="n">
        <f aca="false">Assumptions!$B$14*Assumptions!$B$15^A108</f>
        <v>85380.2067259219</v>
      </c>
      <c r="C108" s="7" t="n">
        <f aca="false">Assumptions!$B$16*A108*Assumptions!$B$18^INT(A108/Assumptions!$B$17)</f>
        <v>135680</v>
      </c>
      <c r="D108" s="8" t="n">
        <f aca="false">B108*Assumptions!$B$21</f>
        <v>10245624.8071106</v>
      </c>
      <c r="E108" s="8" t="n">
        <f aca="false">C108*Assumptions!$B$20</f>
        <v>5427200</v>
      </c>
    </row>
    <row r="109" customFormat="false" ht="15" hidden="false" customHeight="true" outlineLevel="0" collapsed="false">
      <c r="A109" s="3" t="n">
        <v>107</v>
      </c>
      <c r="B109" s="7" t="n">
        <f aca="false">Assumptions!$B$14*Assumptions!$B$15^A109</f>
        <v>91783.7222303661</v>
      </c>
      <c r="C109" s="7" t="n">
        <f aca="false">Assumptions!$B$16*A109*Assumptions!$B$18^INT(A109/Assumptions!$B$17)</f>
        <v>136960</v>
      </c>
      <c r="D109" s="8" t="n">
        <f aca="false">B109*Assumptions!$B$21</f>
        <v>11014046.6676439</v>
      </c>
      <c r="E109" s="8" t="n">
        <f aca="false">C109*Assumptions!$B$20</f>
        <v>5478400</v>
      </c>
    </row>
    <row r="110" customFormat="false" ht="15" hidden="false" customHeight="true" outlineLevel="0" collapsed="false">
      <c r="A110" s="3" t="n">
        <v>108</v>
      </c>
      <c r="B110" s="7" t="n">
        <f aca="false">Assumptions!$B$14*Assumptions!$B$15^A110</f>
        <v>98667.5013976435</v>
      </c>
      <c r="C110" s="7" t="n">
        <f aca="false">Assumptions!$B$16*A110*Assumptions!$B$18^INT(A110/Assumptions!$B$17)</f>
        <v>138240</v>
      </c>
      <c r="D110" s="8" t="n">
        <f aca="false">B110*Assumptions!$B$21</f>
        <v>11840100.1677172</v>
      </c>
      <c r="E110" s="8" t="n">
        <f aca="false">C110*Assumptions!$B$20</f>
        <v>5529600</v>
      </c>
    </row>
    <row r="111" customFormat="false" ht="15" hidden="false" customHeight="true" outlineLevel="0" collapsed="false">
      <c r="A111" s="3" t="n">
        <v>109</v>
      </c>
      <c r="B111" s="7" t="n">
        <f aca="false">Assumptions!$B$14*Assumptions!$B$15^A111</f>
        <v>106067.564002467</v>
      </c>
      <c r="C111" s="7" t="n">
        <f aca="false">Assumptions!$B$16*A111*Assumptions!$B$18^INT(A111/Assumptions!$B$17)</f>
        <v>139520</v>
      </c>
      <c r="D111" s="8" t="n">
        <f aca="false">B111*Assumptions!$B$21</f>
        <v>12728107.680296</v>
      </c>
      <c r="E111" s="8" t="n">
        <f aca="false">C111*Assumptions!$B$20</f>
        <v>5580800</v>
      </c>
    </row>
    <row r="112" customFormat="false" ht="15" hidden="false" customHeight="true" outlineLevel="0" collapsed="false">
      <c r="A112" s="3" t="n">
        <v>110</v>
      </c>
      <c r="B112" s="7" t="n">
        <f aca="false">Assumptions!$B$14*Assumptions!$B$15^A112</f>
        <v>114022.631302652</v>
      </c>
      <c r="C112" s="7" t="n">
        <f aca="false">Assumptions!$B$16*A112*Assumptions!$B$18^INT(A112/Assumptions!$B$17)</f>
        <v>140800</v>
      </c>
      <c r="D112" s="8" t="n">
        <f aca="false">B112*Assumptions!$B$21</f>
        <v>13682715.7563182</v>
      </c>
      <c r="E112" s="8" t="n">
        <f aca="false">C112*Assumptions!$B$20</f>
        <v>5632000</v>
      </c>
    </row>
    <row r="113" customFormat="false" ht="15" hidden="false" customHeight="true" outlineLevel="0" collapsed="false">
      <c r="A113" s="3" t="n">
        <v>111</v>
      </c>
      <c r="B113" s="7" t="n">
        <f aca="false">Assumptions!$B$14*Assumptions!$B$15^A113</f>
        <v>122574.328650351</v>
      </c>
      <c r="C113" s="7" t="n">
        <f aca="false">Assumptions!$B$16*A113*Assumptions!$B$18^INT(A113/Assumptions!$B$17)</f>
        <v>142080</v>
      </c>
      <c r="D113" s="8" t="n">
        <f aca="false">B113*Assumptions!$B$21</f>
        <v>14708919.4380421</v>
      </c>
      <c r="E113" s="8" t="n">
        <f aca="false">C113*Assumptions!$B$20</f>
        <v>5683200</v>
      </c>
    </row>
    <row r="114" customFormat="false" ht="15" hidden="false" customHeight="true" outlineLevel="0" collapsed="false">
      <c r="A114" s="3" t="n">
        <v>112</v>
      </c>
      <c r="B114" s="7" t="n">
        <f aca="false">Assumptions!$B$14*Assumptions!$B$15^A114</f>
        <v>131767.403299127</v>
      </c>
      <c r="C114" s="7" t="n">
        <f aca="false">Assumptions!$B$16*A114*Assumptions!$B$18^INT(A114/Assumptions!$B$17)</f>
        <v>143360</v>
      </c>
      <c r="D114" s="8" t="n">
        <f aca="false">B114*Assumptions!$B$21</f>
        <v>15812088.3958952</v>
      </c>
      <c r="E114" s="8" t="n">
        <f aca="false">C114*Assumptions!$B$20</f>
        <v>5734400</v>
      </c>
    </row>
    <row r="115" customFormat="false" ht="15" hidden="false" customHeight="true" outlineLevel="0" collapsed="false">
      <c r="A115" s="3" t="n">
        <v>113</v>
      </c>
      <c r="B115" s="7" t="n">
        <f aca="false">Assumptions!$B$14*Assumptions!$B$15^A115</f>
        <v>141649.958546561</v>
      </c>
      <c r="C115" s="7" t="n">
        <f aca="false">Assumptions!$B$16*A115*Assumptions!$B$18^INT(A115/Assumptions!$B$17)</f>
        <v>144640</v>
      </c>
      <c r="D115" s="8" t="n">
        <f aca="false">B115*Assumptions!$B$21</f>
        <v>16997995.0255874</v>
      </c>
      <c r="E115" s="8" t="n">
        <f aca="false">C115*Assumptions!$B$20</f>
        <v>5785600</v>
      </c>
    </row>
    <row r="116" customFormat="false" ht="15" hidden="false" customHeight="true" outlineLevel="0" collapsed="false">
      <c r="A116" s="3" t="n">
        <v>114</v>
      </c>
      <c r="B116" s="7" t="n">
        <f aca="false">Assumptions!$B$14*Assumptions!$B$15^A116</f>
        <v>152273.705437554</v>
      </c>
      <c r="C116" s="7" t="n">
        <f aca="false">Assumptions!$B$16*A116*Assumptions!$B$18^INT(A116/Assumptions!$B$17)</f>
        <v>145920</v>
      </c>
      <c r="D116" s="8" t="n">
        <f aca="false">B116*Assumptions!$B$21</f>
        <v>18272844.6525064</v>
      </c>
      <c r="E116" s="8" t="n">
        <f aca="false">C116*Assumptions!$B$20</f>
        <v>5836800</v>
      </c>
    </row>
    <row r="117" customFormat="false" ht="15" hidden="false" customHeight="true" outlineLevel="0" collapsed="false">
      <c r="A117" s="3" t="n">
        <v>115</v>
      </c>
      <c r="B117" s="7" t="n">
        <f aca="false">Assumptions!$B$14*Assumptions!$B$15^A117</f>
        <v>163694.23334537</v>
      </c>
      <c r="C117" s="7" t="n">
        <f aca="false">Assumptions!$B$16*A117*Assumptions!$B$18^INT(A117/Assumptions!$B$17)</f>
        <v>147200</v>
      </c>
      <c r="D117" s="8" t="n">
        <f aca="false">B117*Assumptions!$B$21</f>
        <v>19643308.0014444</v>
      </c>
      <c r="E117" s="8" t="n">
        <f aca="false">C117*Assumptions!$B$20</f>
        <v>5888000</v>
      </c>
    </row>
    <row r="118" customFormat="false" ht="15" hidden="false" customHeight="true" outlineLevel="0" collapsed="false">
      <c r="A118" s="3" t="n">
        <v>116</v>
      </c>
      <c r="B118" s="7" t="n">
        <f aca="false">Assumptions!$B$14*Assumptions!$B$15^A118</f>
        <v>175971.300846273</v>
      </c>
      <c r="C118" s="7" t="n">
        <f aca="false">Assumptions!$B$16*A118*Assumptions!$B$18^INT(A118/Assumptions!$B$17)</f>
        <v>148480</v>
      </c>
      <c r="D118" s="8" t="n">
        <f aca="false">B118*Assumptions!$B$21</f>
        <v>21116556.1015527</v>
      </c>
      <c r="E118" s="8" t="n">
        <f aca="false">C118*Assumptions!$B$20</f>
        <v>5939200</v>
      </c>
    </row>
    <row r="119" customFormat="false" ht="15" hidden="false" customHeight="true" outlineLevel="0" collapsed="false">
      <c r="A119" s="3" t="n">
        <v>117</v>
      </c>
      <c r="B119" s="7" t="n">
        <f aca="false">Assumptions!$B$14*Assumptions!$B$15^A119</f>
        <v>189169.148409743</v>
      </c>
      <c r="C119" s="7" t="n">
        <f aca="false">Assumptions!$B$16*A119*Assumptions!$B$18^INT(A119/Assumptions!$B$17)</f>
        <v>149760</v>
      </c>
      <c r="D119" s="8" t="n">
        <f aca="false">B119*Assumptions!$B$21</f>
        <v>22700297.8091692</v>
      </c>
      <c r="E119" s="8" t="n">
        <f aca="false">C119*Assumptions!$B$20</f>
        <v>5990400</v>
      </c>
    </row>
    <row r="120" customFormat="false" ht="15" hidden="false" customHeight="true" outlineLevel="0" collapsed="false">
      <c r="A120" s="3" t="n">
        <v>118</v>
      </c>
      <c r="B120" s="7" t="n">
        <f aca="false">Assumptions!$B$14*Assumptions!$B$15^A120</f>
        <v>203356.834540474</v>
      </c>
      <c r="C120" s="7" t="n">
        <f aca="false">Assumptions!$B$16*A120*Assumptions!$B$18^INT(A120/Assumptions!$B$17)</f>
        <v>151040</v>
      </c>
      <c r="D120" s="8" t="n">
        <f aca="false">B120*Assumptions!$B$21</f>
        <v>24402820.1448569</v>
      </c>
      <c r="E120" s="8" t="n">
        <f aca="false">C120*Assumptions!$B$20</f>
        <v>6041600</v>
      </c>
    </row>
    <row r="121" customFormat="false" ht="15" hidden="false" customHeight="true" outlineLevel="0" collapsed="false">
      <c r="A121" s="3" t="n">
        <v>119</v>
      </c>
      <c r="B121" s="7" t="n">
        <f aca="false">Assumptions!$B$14*Assumptions!$B$15^A121</f>
        <v>218608.59713101</v>
      </c>
      <c r="C121" s="7" t="n">
        <f aca="false">Assumptions!$B$16*A121*Assumptions!$B$18^INT(A121/Assumptions!$B$17)</f>
        <v>152320</v>
      </c>
      <c r="D121" s="8" t="n">
        <f aca="false">B121*Assumptions!$B$21</f>
        <v>26233031.6557211</v>
      </c>
      <c r="E121" s="8" t="n">
        <f aca="false">C121*Assumptions!$B$20</f>
        <v>6092800</v>
      </c>
    </row>
    <row r="122" customFormat="false" ht="15" hidden="false" customHeight="true" outlineLevel="0" collapsed="false">
      <c r="A122" s="3" t="n">
        <v>120</v>
      </c>
      <c r="B122" s="7" t="n">
        <f aca="false">Assumptions!$B$14*Assumptions!$B$15^A122</f>
        <v>235004.241915835</v>
      </c>
      <c r="C122" s="7" t="n">
        <f aca="false">Assumptions!$B$16*A122*Assumptions!$B$18^INT(A122/Assumptions!$B$17)</f>
        <v>153600</v>
      </c>
      <c r="D122" s="8" t="n">
        <f aca="false">B122*Assumptions!$B$21</f>
        <v>28200509.0299002</v>
      </c>
      <c r="E122" s="8" t="n">
        <f aca="false">C122*Assumptions!$B$20</f>
        <v>6144000</v>
      </c>
    </row>
    <row r="123" customFormat="false" ht="15" hidden="false" customHeight="true" outlineLevel="0" collapsed="false">
      <c r="A123" s="3" t="n">
        <v>121</v>
      </c>
      <c r="B123" s="7" t="n">
        <f aca="false">Assumptions!$B$14*Assumptions!$B$15^A123</f>
        <v>252629.560059523</v>
      </c>
      <c r="C123" s="7" t="n">
        <f aca="false">Assumptions!$B$16*A123*Assumptions!$B$18^INT(A123/Assumptions!$B$17)</f>
        <v>154880</v>
      </c>
      <c r="D123" s="8" t="n">
        <f aca="false">B123*Assumptions!$B$21</f>
        <v>30315547.2071427</v>
      </c>
      <c r="E123" s="8" t="n">
        <f aca="false">C123*Assumptions!$B$20</f>
        <v>6195200</v>
      </c>
    </row>
    <row r="124" customFormat="false" ht="15" hidden="false" customHeight="true" outlineLevel="0" collapsed="false">
      <c r="A124" s="3" t="n">
        <v>122</v>
      </c>
      <c r="B124" s="7" t="n">
        <f aca="false">Assumptions!$B$14*Assumptions!$B$15^A124</f>
        <v>271576.777063987</v>
      </c>
      <c r="C124" s="7" t="n">
        <f aca="false">Assumptions!$B$16*A124*Assumptions!$B$18^INT(A124/Assumptions!$B$17)</f>
        <v>156160</v>
      </c>
      <c r="D124" s="8" t="n">
        <f aca="false">B124*Assumptions!$B$21</f>
        <v>32589213.2476784</v>
      </c>
      <c r="E124" s="8" t="n">
        <f aca="false">C124*Assumptions!$B$20</f>
        <v>6246400</v>
      </c>
    </row>
    <row r="125" customFormat="false" ht="15" hidden="false" customHeight="true" outlineLevel="0" collapsed="false">
      <c r="A125" s="3" t="n">
        <v>123</v>
      </c>
      <c r="B125" s="7" t="n">
        <f aca="false">Assumptions!$B$14*Assumptions!$B$15^A125</f>
        <v>291945.035343786</v>
      </c>
      <c r="C125" s="7" t="n">
        <f aca="false">Assumptions!$B$16*A125*Assumptions!$B$18^INT(A125/Assumptions!$B$17)</f>
        <v>157440</v>
      </c>
      <c r="D125" s="8" t="n">
        <f aca="false">B125*Assumptions!$B$21</f>
        <v>35033404.2412543</v>
      </c>
      <c r="E125" s="8" t="n">
        <f aca="false">C125*Assumptions!$B$20</f>
        <v>6297600</v>
      </c>
    </row>
    <row r="126" customFormat="false" ht="15" hidden="false" customHeight="true" outlineLevel="0" collapsed="false">
      <c r="A126" s="3" t="n">
        <v>124</v>
      </c>
      <c r="B126" s="7" t="n">
        <f aca="false">Assumptions!$B$14*Assumptions!$B$15^A126</f>
        <v>313840.91299457</v>
      </c>
      <c r="C126" s="7" t="n">
        <f aca="false">Assumptions!$B$16*A126*Assumptions!$B$18^INT(A126/Assumptions!$B$17)</f>
        <v>158720</v>
      </c>
      <c r="D126" s="8" t="n">
        <f aca="false">B126*Assumptions!$B$21</f>
        <v>37660909.5593484</v>
      </c>
      <c r="E126" s="8" t="n">
        <f aca="false">C126*Assumptions!$B$20</f>
        <v>6348800</v>
      </c>
    </row>
    <row r="127" customFormat="false" ht="15" hidden="false" customHeight="true" outlineLevel="0" collapsed="false">
      <c r="A127" s="3" t="n">
        <v>125</v>
      </c>
      <c r="B127" s="7" t="n">
        <f aca="false">Assumptions!$B$14*Assumptions!$B$15^A127</f>
        <v>337378.981469163</v>
      </c>
      <c r="C127" s="7" t="n">
        <f aca="false">Assumptions!$B$16*A127*Assumptions!$B$18^INT(A127/Assumptions!$B$17)</f>
        <v>640000</v>
      </c>
      <c r="D127" s="8" t="n">
        <f aca="false">B127*Assumptions!$B$21</f>
        <v>40485477.7762995</v>
      </c>
      <c r="E127" s="8" t="n">
        <f aca="false">C127*Assumptions!$B$20</f>
        <v>25600000</v>
      </c>
    </row>
    <row r="128" customFormat="false" ht="15" hidden="false" customHeight="true" outlineLevel="0" collapsed="false">
      <c r="A128" s="3" t="n">
        <v>126</v>
      </c>
      <c r="B128" s="7" t="n">
        <f aca="false">Assumptions!$B$14*Assumptions!$B$15^A128</f>
        <v>362682.40507935</v>
      </c>
      <c r="C128" s="7" t="n">
        <f aca="false">Assumptions!$B$16*A128*Assumptions!$B$18^INT(A128/Assumptions!$B$17)</f>
        <v>645120</v>
      </c>
      <c r="D128" s="8" t="n">
        <f aca="false">B128*Assumptions!$B$21</f>
        <v>43521888.609522</v>
      </c>
      <c r="E128" s="8" t="n">
        <f aca="false">C128*Assumptions!$B$20</f>
        <v>25804800</v>
      </c>
    </row>
    <row r="129" customFormat="false" ht="15" hidden="false" customHeight="true" outlineLevel="0" collapsed="false">
      <c r="A129" s="3" t="n">
        <v>127</v>
      </c>
      <c r="B129" s="7" t="n">
        <f aca="false">Assumptions!$B$14*Assumptions!$B$15^A129</f>
        <v>389883.585460301</v>
      </c>
      <c r="C129" s="7" t="n">
        <f aca="false">Assumptions!$B$16*A129*Assumptions!$B$18^INT(A129/Assumptions!$B$17)</f>
        <v>650240</v>
      </c>
      <c r="D129" s="8" t="n">
        <f aca="false">B129*Assumptions!$B$21</f>
        <v>46786030.2552361</v>
      </c>
      <c r="E129" s="8" t="n">
        <f aca="false">C129*Assumptions!$B$20</f>
        <v>26009600</v>
      </c>
    </row>
    <row r="130" customFormat="false" ht="15" hidden="false" customHeight="true" outlineLevel="0" collapsed="false">
      <c r="A130" s="3" t="n">
        <v>128</v>
      </c>
      <c r="B130" s="7" t="n">
        <f aca="false">Assumptions!$B$14*Assumptions!$B$15^A130</f>
        <v>419124.854369824</v>
      </c>
      <c r="C130" s="7" t="n">
        <f aca="false">Assumptions!$B$16*A130*Assumptions!$B$18^INT(A130/Assumptions!$B$17)</f>
        <v>655360</v>
      </c>
      <c r="D130" s="8" t="n">
        <f aca="false">B130*Assumptions!$B$21</f>
        <v>50294982.5243788</v>
      </c>
      <c r="E130" s="8" t="n">
        <f aca="false">C130*Assumptions!$B$20</f>
        <v>26214400</v>
      </c>
    </row>
    <row r="131" customFormat="false" ht="15" hidden="false" customHeight="true" outlineLevel="0" collapsed="false">
      <c r="A131" s="3" t="n">
        <v>129</v>
      </c>
      <c r="B131" s="7" t="n">
        <f aca="false">Assumptions!$B$14*Assumptions!$B$15^A131</f>
        <v>450559.218447561</v>
      </c>
      <c r="C131" s="7" t="n">
        <f aca="false">Assumptions!$B$16*A131*Assumptions!$B$18^INT(A131/Assumptions!$B$17)</f>
        <v>660480</v>
      </c>
      <c r="D131" s="8" t="n">
        <f aca="false">B131*Assumptions!$B$21</f>
        <v>54067106.2137073</v>
      </c>
      <c r="E131" s="8" t="n">
        <f aca="false">C131*Assumptions!$B$20</f>
        <v>26419200</v>
      </c>
    </row>
    <row r="132" customFormat="false" ht="15" hidden="false" customHeight="true" outlineLevel="0" collapsed="false">
      <c r="A132" s="3" t="n">
        <v>130</v>
      </c>
      <c r="B132" s="7" t="n">
        <f aca="false">Assumptions!$B$14*Assumptions!$B$15^A132</f>
        <v>484351.159831128</v>
      </c>
      <c r="C132" s="7" t="n">
        <f aca="false">Assumptions!$B$16*A132*Assumptions!$B$18^INT(A132/Assumptions!$B$17)</f>
        <v>665600</v>
      </c>
      <c r="D132" s="8" t="n">
        <f aca="false">B132*Assumptions!$B$21</f>
        <v>58122139.1797353</v>
      </c>
      <c r="E132" s="8" t="n">
        <f aca="false">C132*Assumptions!$B$20</f>
        <v>26624000</v>
      </c>
    </row>
    <row r="133" customFormat="false" ht="15" hidden="false" customHeight="true" outlineLevel="0" collapsed="false">
      <c r="A133" s="3" t="n">
        <v>131</v>
      </c>
      <c r="B133" s="7" t="n">
        <f aca="false">Assumptions!$B$14*Assumptions!$B$15^A133</f>
        <v>520677.496818462</v>
      </c>
      <c r="C133" s="7" t="n">
        <f aca="false">Assumptions!$B$16*A133*Assumptions!$B$18^INT(A133/Assumptions!$B$17)</f>
        <v>670720</v>
      </c>
      <c r="D133" s="8" t="n">
        <f aca="false">B133*Assumptions!$B$21</f>
        <v>62481299.6182155</v>
      </c>
      <c r="E133" s="8" t="n">
        <f aca="false">C133*Assumptions!$B$20</f>
        <v>26828800</v>
      </c>
    </row>
    <row r="134" customFormat="false" ht="15" hidden="false" customHeight="true" outlineLevel="0" collapsed="false">
      <c r="A134" s="3" t="n">
        <v>132</v>
      </c>
      <c r="B134" s="7" t="n">
        <f aca="false">Assumptions!$B$14*Assumptions!$B$15^A134</f>
        <v>559728.309079847</v>
      </c>
      <c r="C134" s="7" t="n">
        <f aca="false">Assumptions!$B$16*A134*Assumptions!$B$18^INT(A134/Assumptions!$B$17)</f>
        <v>675840</v>
      </c>
      <c r="D134" s="8" t="n">
        <f aca="false">B134*Assumptions!$B$21</f>
        <v>67167397.0895816</v>
      </c>
      <c r="E134" s="8" t="n">
        <f aca="false">C134*Assumptions!$B$20</f>
        <v>27033600</v>
      </c>
    </row>
    <row r="135" customFormat="false" ht="15" hidden="false" customHeight="true" outlineLevel="0" collapsed="false">
      <c r="A135" s="3" t="n">
        <v>133</v>
      </c>
      <c r="B135" s="7" t="n">
        <f aca="false">Assumptions!$B$14*Assumptions!$B$15^A135</f>
        <v>601707.932260835</v>
      </c>
      <c r="C135" s="7" t="n">
        <f aca="false">Assumptions!$B$16*A135*Assumptions!$B$18^INT(A135/Assumptions!$B$17)</f>
        <v>680960</v>
      </c>
      <c r="D135" s="8" t="n">
        <f aca="false">B135*Assumptions!$B$21</f>
        <v>72204951.8713002</v>
      </c>
      <c r="E135" s="8" t="n">
        <f aca="false">C135*Assumptions!$B$20</f>
        <v>27238400</v>
      </c>
    </row>
    <row r="136" customFormat="false" ht="15" hidden="false" customHeight="true" outlineLevel="0" collapsed="false">
      <c r="A136" s="3" t="n">
        <v>134</v>
      </c>
      <c r="B136" s="7" t="n">
        <f aca="false">Assumptions!$B$14*Assumptions!$B$15^A136</f>
        <v>646836.027180398</v>
      </c>
      <c r="C136" s="7" t="n">
        <f aca="false">Assumptions!$B$16*A136*Assumptions!$B$18^INT(A136/Assumptions!$B$17)</f>
        <v>686080</v>
      </c>
      <c r="D136" s="8" t="n">
        <f aca="false">B136*Assumptions!$B$21</f>
        <v>77620323.2616477</v>
      </c>
      <c r="E136" s="8" t="n">
        <f aca="false">C136*Assumptions!$B$20</f>
        <v>27443200</v>
      </c>
    </row>
    <row r="137" customFormat="false" ht="15" hidden="false" customHeight="true" outlineLevel="0" collapsed="false">
      <c r="A137" s="3" t="n">
        <v>135</v>
      </c>
      <c r="B137" s="7" t="n">
        <f aca="false">Assumptions!$B$14*Assumptions!$B$15^A137</f>
        <v>695348.729218928</v>
      </c>
      <c r="C137" s="7" t="n">
        <f aca="false">Assumptions!$B$16*A137*Assumptions!$B$18^INT(A137/Assumptions!$B$17)</f>
        <v>691200</v>
      </c>
      <c r="D137" s="8" t="n">
        <f aca="false">B137*Assumptions!$B$21</f>
        <v>83441847.5062713</v>
      </c>
      <c r="E137" s="8" t="n">
        <f aca="false">C137*Assumptions!$B$20</f>
        <v>27648000</v>
      </c>
    </row>
    <row r="138" customFormat="false" ht="15" hidden="false" customHeight="true" outlineLevel="0" collapsed="false">
      <c r="A138" s="3" t="n">
        <v>136</v>
      </c>
      <c r="B138" s="7" t="n">
        <f aca="false">Assumptions!$B$14*Assumptions!$B$15^A138</f>
        <v>747499.883910347</v>
      </c>
      <c r="C138" s="7" t="n">
        <f aca="false">Assumptions!$B$16*A138*Assumptions!$B$18^INT(A138/Assumptions!$B$17)</f>
        <v>696320</v>
      </c>
      <c r="D138" s="8" t="n">
        <f aca="false">B138*Assumptions!$B$21</f>
        <v>89699986.0692417</v>
      </c>
      <c r="E138" s="8" t="n">
        <f aca="false">C138*Assumptions!$B$20</f>
        <v>27852800</v>
      </c>
    </row>
    <row r="139" customFormat="false" ht="15" hidden="false" customHeight="true" outlineLevel="0" collapsed="false">
      <c r="A139" s="3" t="n">
        <v>137</v>
      </c>
      <c r="B139" s="7" t="n">
        <f aca="false">Assumptions!$B$14*Assumptions!$B$15^A139</f>
        <v>803562.375203623</v>
      </c>
      <c r="C139" s="7" t="n">
        <f aca="false">Assumptions!$B$16*A139*Assumptions!$B$18^INT(A139/Assumptions!$B$17)</f>
        <v>701440</v>
      </c>
      <c r="D139" s="8" t="n">
        <f aca="false">B139*Assumptions!$B$21</f>
        <v>96427485.0244348</v>
      </c>
      <c r="E139" s="8" t="n">
        <f aca="false">C139*Assumptions!$B$20</f>
        <v>28057600</v>
      </c>
    </row>
    <row r="140" customFormat="false" ht="15" hidden="false" customHeight="true" outlineLevel="0" collapsed="false">
      <c r="A140" s="3" t="n">
        <v>138</v>
      </c>
      <c r="B140" s="7" t="n">
        <f aca="false">Assumptions!$B$14*Assumptions!$B$15^A140</f>
        <v>863829.553343895</v>
      </c>
      <c r="C140" s="7" t="n">
        <f aca="false">Assumptions!$B$16*A140*Assumptions!$B$18^INT(A140/Assumptions!$B$17)</f>
        <v>706560</v>
      </c>
      <c r="D140" s="8" t="n">
        <f aca="false">B140*Assumptions!$B$21</f>
        <v>103659546.401267</v>
      </c>
      <c r="E140" s="8" t="n">
        <f aca="false">C140*Assumptions!$B$20</f>
        <v>28262400</v>
      </c>
    </row>
    <row r="141" customFormat="false" ht="15" hidden="false" customHeight="true" outlineLevel="0" collapsed="false">
      <c r="A141" s="3" t="n">
        <v>139</v>
      </c>
      <c r="B141" s="7" t="n">
        <f aca="false">Assumptions!$B$14*Assumptions!$B$15^A141</f>
        <v>928616.769844687</v>
      </c>
      <c r="C141" s="7" t="n">
        <f aca="false">Assumptions!$B$16*A141*Assumptions!$B$18^INT(A141/Assumptions!$B$17)</f>
        <v>711680</v>
      </c>
      <c r="D141" s="8" t="n">
        <f aca="false">B141*Assumptions!$B$21</f>
        <v>111434012.381362</v>
      </c>
      <c r="E141" s="8" t="n">
        <f aca="false">C141*Assumptions!$B$20</f>
        <v>28467200</v>
      </c>
    </row>
    <row r="142" customFormat="false" ht="15" hidden="false" customHeight="true" outlineLevel="0" collapsed="false">
      <c r="A142" s="3" t="n">
        <v>140</v>
      </c>
      <c r="B142" s="7" t="n">
        <f aca="false">Assumptions!$B$14*Assumptions!$B$15^A142</f>
        <v>998263.027583038</v>
      </c>
      <c r="C142" s="7" t="n">
        <f aca="false">Assumptions!$B$16*A142*Assumptions!$B$18^INT(A142/Assumptions!$B$17)</f>
        <v>716800</v>
      </c>
      <c r="D142" s="8" t="n">
        <f aca="false">B142*Assumptions!$B$21</f>
        <v>119791563.309965</v>
      </c>
      <c r="E142" s="8" t="n">
        <f aca="false">C142*Assumptions!$B$20</f>
        <v>28672000</v>
      </c>
    </row>
    <row r="143" customFormat="false" ht="15" hidden="false" customHeight="true" outlineLevel="0" collapsed="false">
      <c r="A143" s="3" t="n">
        <v>141</v>
      </c>
      <c r="B143" s="7" t="n">
        <f aca="false">Assumptions!$B$14*Assumptions!$B$15^A143</f>
        <v>1073132.75465177</v>
      </c>
      <c r="C143" s="7" t="n">
        <f aca="false">Assumptions!$B$16*A143*Assumptions!$B$18^INT(A143/Assumptions!$B$17)</f>
        <v>721920</v>
      </c>
      <c r="D143" s="8" t="n">
        <f aca="false">B143*Assumptions!$B$21</f>
        <v>128775930.558212</v>
      </c>
      <c r="E143" s="8" t="n">
        <f aca="false">C143*Assumptions!$B$20</f>
        <v>28876800</v>
      </c>
    </row>
    <row r="144" customFormat="false" ht="15" hidden="false" customHeight="true" outlineLevel="0" collapsed="false">
      <c r="A144" s="3" t="n">
        <v>142</v>
      </c>
      <c r="B144" s="7" t="n">
        <f aca="false">Assumptions!$B$14*Assumptions!$B$15^A144</f>
        <v>1153617.71125065</v>
      </c>
      <c r="C144" s="7" t="n">
        <f aca="false">Assumptions!$B$16*A144*Assumptions!$B$18^INT(A144/Assumptions!$B$17)</f>
        <v>727040</v>
      </c>
      <c r="D144" s="8" t="n">
        <f aca="false">B144*Assumptions!$B$21</f>
        <v>138434125.350078</v>
      </c>
      <c r="E144" s="8" t="n">
        <f aca="false">C144*Assumptions!$B$20</f>
        <v>29081600</v>
      </c>
    </row>
    <row r="145" customFormat="false" ht="15" hidden="false" customHeight="true" outlineLevel="0" collapsed="false">
      <c r="A145" s="3" t="n">
        <v>143</v>
      </c>
      <c r="B145" s="7" t="n">
        <f aca="false">Assumptions!$B$14*Assumptions!$B$15^A145</f>
        <v>1240139.03959445</v>
      </c>
      <c r="C145" s="7" t="n">
        <f aca="false">Assumptions!$B$16*A145*Assumptions!$B$18^INT(A145/Assumptions!$B$17)</f>
        <v>732160</v>
      </c>
      <c r="D145" s="8" t="n">
        <f aca="false">B145*Assumptions!$B$21</f>
        <v>148816684.751334</v>
      </c>
      <c r="E145" s="8" t="n">
        <f aca="false">C145*Assumptions!$B$20</f>
        <v>29286400</v>
      </c>
    </row>
    <row r="146" customFormat="false" ht="15" hidden="false" customHeight="true" outlineLevel="0" collapsed="false">
      <c r="A146" s="3" t="n">
        <v>144</v>
      </c>
      <c r="B146" s="7" t="n">
        <f aca="false">Assumptions!$B$14*Assumptions!$B$15^A146</f>
        <v>1333149.46756403</v>
      </c>
      <c r="C146" s="7" t="n">
        <f aca="false">Assumptions!$B$16*A146*Assumptions!$B$18^INT(A146/Assumptions!$B$17)</f>
        <v>737280</v>
      </c>
      <c r="D146" s="8" t="n">
        <f aca="false">B146*Assumptions!$B$21</f>
        <v>159977936.107684</v>
      </c>
      <c r="E146" s="8" t="n">
        <f aca="false">C146*Assumptions!$B$20</f>
        <v>29491200</v>
      </c>
    </row>
    <row r="147" customFormat="false" ht="15" hidden="false" customHeight="true" outlineLevel="0" collapsed="false">
      <c r="A147" s="3" t="n">
        <v>145</v>
      </c>
      <c r="B147" s="7" t="n">
        <f aca="false">Assumptions!$B$14*Assumptions!$B$15^A147</f>
        <v>1433135.67763133</v>
      </c>
      <c r="C147" s="7" t="n">
        <f aca="false">Assumptions!$B$16*A147*Assumptions!$B$18^INT(A147/Assumptions!$B$17)</f>
        <v>742400</v>
      </c>
      <c r="D147" s="8" t="n">
        <f aca="false">B147*Assumptions!$B$21</f>
        <v>171976281.31576</v>
      </c>
      <c r="E147" s="8" t="n">
        <f aca="false">C147*Assumptions!$B$20</f>
        <v>29696000</v>
      </c>
    </row>
    <row r="148" customFormat="false" ht="15" hidden="false" customHeight="true" outlineLevel="0" collapsed="false">
      <c r="A148" s="3" t="n">
        <v>146</v>
      </c>
      <c r="B148" s="7" t="n">
        <f aca="false">Assumptions!$B$14*Assumptions!$B$15^A148</f>
        <v>1540620.85345368</v>
      </c>
      <c r="C148" s="7" t="n">
        <f aca="false">Assumptions!$B$16*A148*Assumptions!$B$18^INT(A148/Assumptions!$B$17)</f>
        <v>747520</v>
      </c>
      <c r="D148" s="8" t="n">
        <f aca="false">B148*Assumptions!$B$21</f>
        <v>184874502.414442</v>
      </c>
      <c r="E148" s="8" t="n">
        <f aca="false">C148*Assumptions!$B$20</f>
        <v>29900800</v>
      </c>
    </row>
    <row r="149" customFormat="false" ht="15" hidden="false" customHeight="true" outlineLevel="0" collapsed="false">
      <c r="A149" s="3" t="n">
        <v>147</v>
      </c>
      <c r="B149" s="7" t="n">
        <f aca="false">Assumptions!$B$14*Assumptions!$B$15^A149</f>
        <v>1656167.41746271</v>
      </c>
      <c r="C149" s="7" t="n">
        <f aca="false">Assumptions!$B$16*A149*Assumptions!$B$18^INT(A149/Assumptions!$B$17)</f>
        <v>752640</v>
      </c>
      <c r="D149" s="8" t="n">
        <f aca="false">B149*Assumptions!$B$21</f>
        <v>198740090.095525</v>
      </c>
      <c r="E149" s="8" t="n">
        <f aca="false">C149*Assumptions!$B$20</f>
        <v>30105600</v>
      </c>
    </row>
    <row r="150" customFormat="false" ht="15" hidden="false" customHeight="true" outlineLevel="0" collapsed="false">
      <c r="A150" s="3" t="n">
        <v>148</v>
      </c>
      <c r="B150" s="7" t="n">
        <f aca="false">Assumptions!$B$14*Assumptions!$B$15^A150</f>
        <v>1780379.97377241</v>
      </c>
      <c r="C150" s="7" t="n">
        <f aca="false">Assumptions!$B$16*A150*Assumptions!$B$18^INT(A150/Assumptions!$B$17)</f>
        <v>757760</v>
      </c>
      <c r="D150" s="8" t="n">
        <f aca="false">B150*Assumptions!$B$21</f>
        <v>213645596.852689</v>
      </c>
      <c r="E150" s="8" t="n">
        <f aca="false">C150*Assumptions!$B$20</f>
        <v>30310400</v>
      </c>
    </row>
    <row r="151" customFormat="false" ht="15" hidden="false" customHeight="true" outlineLevel="0" collapsed="false">
      <c r="A151" s="3" t="n">
        <v>149</v>
      </c>
      <c r="B151" s="7" t="n">
        <f aca="false">Assumptions!$B$14*Assumptions!$B$15^A151</f>
        <v>1913908.47180534</v>
      </c>
      <c r="C151" s="7" t="n">
        <f aca="false">Assumptions!$B$16*A151*Assumptions!$B$18^INT(A151/Assumptions!$B$17)</f>
        <v>762880</v>
      </c>
      <c r="D151" s="8" t="n">
        <f aca="false">B151*Assumptions!$B$21</f>
        <v>229669016.616641</v>
      </c>
      <c r="E151" s="8" t="n">
        <f aca="false">C151*Assumptions!$B$20</f>
        <v>30515200</v>
      </c>
    </row>
    <row r="152" customFormat="false" ht="15" hidden="false" customHeight="true" outlineLevel="0" collapsed="false">
      <c r="A152" s="3" t="n">
        <v>150</v>
      </c>
      <c r="B152" s="7" t="n">
        <f aca="false">Assumptions!$B$14*Assumptions!$B$15^A152</f>
        <v>2057451.60719074</v>
      </c>
      <c r="C152" s="7" t="n">
        <f aca="false">Assumptions!$B$16*A152*Assumptions!$B$18^INT(A152/Assumptions!$B$17)</f>
        <v>3072000</v>
      </c>
      <c r="D152" s="8" t="n">
        <f aca="false">B152*Assumptions!$B$21</f>
        <v>246894192.862889</v>
      </c>
      <c r="E152" s="8" t="n">
        <f aca="false">C152*Assumptions!$B$20</f>
        <v>122880000</v>
      </c>
    </row>
    <row r="153" customFormat="false" ht="15" hidden="false" customHeight="true" outlineLevel="0" collapsed="false">
      <c r="A153" s="3" t="n">
        <v>151</v>
      </c>
      <c r="B153" s="7" t="n">
        <f aca="false">Assumptions!$B$14*Assumptions!$B$15^A153</f>
        <v>2211760.47773005</v>
      </c>
      <c r="C153" s="7" t="n">
        <f aca="false">Assumptions!$B$16*A153*Assumptions!$B$18^INT(A153/Assumptions!$B$17)</f>
        <v>3092480</v>
      </c>
      <c r="D153" s="8" t="n">
        <f aca="false">B153*Assumptions!$B$21</f>
        <v>265411257.327606</v>
      </c>
      <c r="E153" s="8" t="n">
        <f aca="false">C153*Assumptions!$B$20</f>
        <v>123699200</v>
      </c>
    </row>
    <row r="154" customFormat="false" ht="15" hidden="false" customHeight="true" outlineLevel="0" collapsed="false">
      <c r="A154" s="3" t="n">
        <v>152</v>
      </c>
      <c r="B154" s="7" t="n">
        <f aca="false">Assumptions!$B$14*Assumptions!$B$15^A154</f>
        <v>2377642.5135598</v>
      </c>
      <c r="C154" s="7" t="n">
        <f aca="false">Assumptions!$B$16*A154*Assumptions!$B$18^INT(A154/Assumptions!$B$17)</f>
        <v>3112960</v>
      </c>
      <c r="D154" s="8" t="n">
        <f aca="false">B154*Assumptions!$B$21</f>
        <v>285317101.627176</v>
      </c>
      <c r="E154" s="8" t="n">
        <f aca="false">C154*Assumptions!$B$20</f>
        <v>124518400</v>
      </c>
    </row>
    <row r="155" customFormat="false" ht="15" hidden="false" customHeight="true" outlineLevel="0" collapsed="false">
      <c r="A155" s="3" t="n">
        <v>153</v>
      </c>
      <c r="B155" s="7" t="n">
        <f aca="false">Assumptions!$B$14*Assumptions!$B$15^A155</f>
        <v>2555965.70207679</v>
      </c>
      <c r="C155" s="7" t="n">
        <f aca="false">Assumptions!$B$16*A155*Assumptions!$B$18^INT(A155/Assumptions!$B$17)</f>
        <v>3133440</v>
      </c>
      <c r="D155" s="8" t="n">
        <f aca="false">B155*Assumptions!$B$21</f>
        <v>306715884.249215</v>
      </c>
      <c r="E155" s="8" t="n">
        <f aca="false">C155*Assumptions!$B$20</f>
        <v>125337600</v>
      </c>
    </row>
    <row r="156" customFormat="false" ht="15" hidden="false" customHeight="true" outlineLevel="0" collapsed="false">
      <c r="A156" s="3" t="n">
        <v>154</v>
      </c>
      <c r="B156" s="7" t="n">
        <f aca="false">Assumptions!$B$14*Assumptions!$B$15^A156</f>
        <v>2747663.12973255</v>
      </c>
      <c r="C156" s="7" t="n">
        <f aca="false">Assumptions!$B$16*A156*Assumptions!$B$18^INT(A156/Assumptions!$B$17)</f>
        <v>3153920</v>
      </c>
      <c r="D156" s="8" t="n">
        <f aca="false">B156*Assumptions!$B$21</f>
        <v>329719575.567906</v>
      </c>
      <c r="E156" s="8" t="n">
        <f aca="false">C156*Assumptions!$B$20</f>
        <v>126156800</v>
      </c>
    </row>
    <row r="157" customFormat="false" ht="15" hidden="false" customHeight="true" outlineLevel="0" collapsed="false">
      <c r="A157" s="3" t="n">
        <v>155</v>
      </c>
      <c r="B157" s="7" t="n">
        <f aca="false">Assumptions!$B$14*Assumptions!$B$15^A157</f>
        <v>2953737.86446249</v>
      </c>
      <c r="C157" s="7" t="n">
        <f aca="false">Assumptions!$B$16*A157*Assumptions!$B$18^INT(A157/Assumptions!$B$17)</f>
        <v>3174400</v>
      </c>
      <c r="D157" s="8" t="n">
        <f aca="false">B157*Assumptions!$B$21</f>
        <v>354448543.735499</v>
      </c>
      <c r="E157" s="8" t="n">
        <f aca="false">C157*Assumptions!$B$20</f>
        <v>126976000</v>
      </c>
    </row>
    <row r="158" customFormat="false" ht="15" hidden="false" customHeight="true" outlineLevel="0" collapsed="false">
      <c r="A158" s="3" t="n">
        <v>156</v>
      </c>
      <c r="B158" s="7" t="n">
        <f aca="false">Assumptions!$B$14*Assumptions!$B$15^A158</f>
        <v>3175268.20429717</v>
      </c>
      <c r="C158" s="7" t="n">
        <f aca="false">Assumptions!$B$16*A158*Assumptions!$B$18^INT(A158/Assumptions!$B$17)</f>
        <v>3194880</v>
      </c>
      <c r="D158" s="8" t="n">
        <f aca="false">B158*Assumptions!$B$21</f>
        <v>381032184.515661</v>
      </c>
      <c r="E158" s="8" t="n">
        <f aca="false">C158*Assumptions!$B$20</f>
        <v>127795200</v>
      </c>
    </row>
    <row r="159" customFormat="false" ht="15" hidden="false" customHeight="true" outlineLevel="0" collapsed="false">
      <c r="A159" s="3" t="n">
        <v>157</v>
      </c>
      <c r="B159" s="7" t="n">
        <f aca="false">Assumptions!$B$14*Assumptions!$B$15^A159</f>
        <v>3413413.31961946</v>
      </c>
      <c r="C159" s="7" t="n">
        <f aca="false">Assumptions!$B$16*A159*Assumptions!$B$18^INT(A159/Assumptions!$B$17)</f>
        <v>3215360</v>
      </c>
      <c r="D159" s="8" t="n">
        <f aca="false">B159*Assumptions!$B$21</f>
        <v>409609598.354335</v>
      </c>
      <c r="E159" s="8" t="n">
        <f aca="false">C159*Assumptions!$B$20</f>
        <v>128614400</v>
      </c>
    </row>
    <row r="160" customFormat="false" ht="15" hidden="false" customHeight="true" outlineLevel="0" collapsed="false">
      <c r="A160" s="3" t="n">
        <v>158</v>
      </c>
      <c r="B160" s="7" t="n">
        <f aca="false">Assumptions!$B$14*Assumptions!$B$15^A160</f>
        <v>3669419.31859092</v>
      </c>
      <c r="C160" s="7" t="n">
        <f aca="false">Assumptions!$B$16*A160*Assumptions!$B$18^INT(A160/Assumptions!$B$17)</f>
        <v>3235840</v>
      </c>
      <c r="D160" s="8" t="n">
        <f aca="false">B160*Assumptions!$B$21</f>
        <v>440330318.230911</v>
      </c>
      <c r="E160" s="8" t="n">
        <f aca="false">C160*Assumptions!$B$20</f>
        <v>129433600</v>
      </c>
    </row>
    <row r="161" customFormat="false" ht="15" hidden="false" customHeight="true" outlineLevel="0" collapsed="false">
      <c r="A161" s="3" t="n">
        <v>159</v>
      </c>
      <c r="B161" s="7" t="n">
        <f aca="false">Assumptions!$B$14*Assumptions!$B$15^A161</f>
        <v>3944625.76748524</v>
      </c>
      <c r="C161" s="7" t="n">
        <f aca="false">Assumptions!$B$16*A161*Assumptions!$B$18^INT(A161/Assumptions!$B$17)</f>
        <v>3256320</v>
      </c>
      <c r="D161" s="8" t="n">
        <f aca="false">B161*Assumptions!$B$21</f>
        <v>473355092.098229</v>
      </c>
      <c r="E161" s="8" t="n">
        <f aca="false">C161*Assumptions!$B$20</f>
        <v>130252800</v>
      </c>
    </row>
    <row r="162" customFormat="false" ht="15" hidden="false" customHeight="true" outlineLevel="0" collapsed="false">
      <c r="A162" s="3" t="n">
        <v>160</v>
      </c>
      <c r="B162" s="7" t="n">
        <f aca="false">Assumptions!$B$14*Assumptions!$B$15^A162</f>
        <v>4240472.70004663</v>
      </c>
      <c r="C162" s="7" t="n">
        <f aca="false">Assumptions!$B$16*A162*Assumptions!$B$18^INT(A162/Assumptions!$B$17)</f>
        <v>3276800</v>
      </c>
      <c r="D162" s="8" t="n">
        <f aca="false">B162*Assumptions!$B$21</f>
        <v>508856724.005596</v>
      </c>
      <c r="E162" s="8" t="n">
        <f aca="false">C162*Assumptions!$B$20</f>
        <v>131072000</v>
      </c>
    </row>
    <row r="163" customFormat="false" ht="15" hidden="false" customHeight="true" outlineLevel="0" collapsed="false">
      <c r="A163" s="3" t="n">
        <v>161</v>
      </c>
      <c r="B163" s="7" t="n">
        <f aca="false">Assumptions!$B$14*Assumptions!$B$15^A163</f>
        <v>4558508.15255013</v>
      </c>
      <c r="C163" s="7" t="n">
        <f aca="false">Assumptions!$B$16*A163*Assumptions!$B$18^INT(A163/Assumptions!$B$17)</f>
        <v>3297280</v>
      </c>
      <c r="D163" s="8" t="n">
        <f aca="false">B163*Assumptions!$B$21</f>
        <v>547020978.306016</v>
      </c>
      <c r="E163" s="8" t="n">
        <f aca="false">C163*Assumptions!$B$20</f>
        <v>131891200</v>
      </c>
    </row>
    <row r="164" customFormat="false" ht="15" hidden="false" customHeight="true" outlineLevel="0" collapsed="false">
      <c r="A164" s="3" t="n">
        <v>162</v>
      </c>
      <c r="B164" s="7" t="n">
        <f aca="false">Assumptions!$B$14*Assumptions!$B$15^A164</f>
        <v>4900396.26399139</v>
      </c>
      <c r="C164" s="7" t="n">
        <f aca="false">Assumptions!$B$16*A164*Assumptions!$B$18^INT(A164/Assumptions!$B$17)</f>
        <v>3317760</v>
      </c>
      <c r="D164" s="8" t="n">
        <f aca="false">B164*Assumptions!$B$21</f>
        <v>588047551.678967</v>
      </c>
      <c r="E164" s="8" t="n">
        <f aca="false">C164*Assumptions!$B$20</f>
        <v>132710400</v>
      </c>
    </row>
    <row r="165" customFormat="false" ht="15" hidden="false" customHeight="true" outlineLevel="0" collapsed="false">
      <c r="A165" s="3" t="n">
        <v>163</v>
      </c>
      <c r="B165" s="7" t="n">
        <f aca="false">Assumptions!$B$14*Assumptions!$B$15^A165</f>
        <v>5267925.98379075</v>
      </c>
      <c r="C165" s="7" t="n">
        <f aca="false">Assumptions!$B$16*A165*Assumptions!$B$18^INT(A165/Assumptions!$B$17)</f>
        <v>3338240</v>
      </c>
      <c r="D165" s="8" t="n">
        <f aca="false">B165*Assumptions!$B$21</f>
        <v>632151118.054889</v>
      </c>
      <c r="E165" s="8" t="n">
        <f aca="false">C165*Assumptions!$B$20</f>
        <v>133529600</v>
      </c>
    </row>
    <row r="166" customFormat="false" ht="15" hidden="false" customHeight="true" outlineLevel="0" collapsed="false">
      <c r="A166" s="3" t="n">
        <v>164</v>
      </c>
      <c r="B166" s="7" t="n">
        <f aca="false">Assumptions!$B$14*Assumptions!$B$15^A166</f>
        <v>5663020.43257505</v>
      </c>
      <c r="C166" s="7" t="n">
        <f aca="false">Assumptions!$B$16*A166*Assumptions!$B$18^INT(A166/Assumptions!$B$17)</f>
        <v>3358720</v>
      </c>
      <c r="D166" s="8" t="n">
        <f aca="false">B166*Assumptions!$B$21</f>
        <v>679562451.909006</v>
      </c>
      <c r="E166" s="8" t="n">
        <f aca="false">C166*Assumptions!$B$20</f>
        <v>134348800</v>
      </c>
    </row>
    <row r="167" customFormat="false" ht="15" hidden="false" customHeight="true" outlineLevel="0" collapsed="false">
      <c r="A167" s="3" t="n">
        <v>165</v>
      </c>
      <c r="B167" s="7" t="n">
        <f aca="false">Assumptions!$B$14*Assumptions!$B$15^A167</f>
        <v>6087746.96501818</v>
      </c>
      <c r="C167" s="7" t="n">
        <f aca="false">Assumptions!$B$16*A167*Assumptions!$B$18^INT(A167/Assumptions!$B$17)</f>
        <v>3379200</v>
      </c>
      <c r="D167" s="8" t="n">
        <f aca="false">B167*Assumptions!$B$21</f>
        <v>730529635.802182</v>
      </c>
      <c r="E167" s="8" t="n">
        <f aca="false">C167*Assumptions!$B$20</f>
        <v>135168000</v>
      </c>
    </row>
    <row r="168" customFormat="false" ht="15" hidden="false" customHeight="true" outlineLevel="0" collapsed="false">
      <c r="A168" s="3" t="n">
        <v>166</v>
      </c>
      <c r="B168" s="7" t="n">
        <f aca="false">Assumptions!$B$14*Assumptions!$B$15^A168</f>
        <v>6544327.98739454</v>
      </c>
      <c r="C168" s="7" t="n">
        <f aca="false">Assumptions!$B$16*A168*Assumptions!$B$18^INT(A168/Assumptions!$B$17)</f>
        <v>3399680</v>
      </c>
      <c r="D168" s="8" t="n">
        <f aca="false">B168*Assumptions!$B$21</f>
        <v>785319358.487345</v>
      </c>
      <c r="E168" s="8" t="n">
        <f aca="false">C168*Assumptions!$B$20</f>
        <v>135987200</v>
      </c>
    </row>
    <row r="169" customFormat="false" ht="15" hidden="false" customHeight="true" outlineLevel="0" collapsed="false">
      <c r="A169" s="3" t="n">
        <v>167</v>
      </c>
      <c r="B169" s="7" t="n">
        <f aca="false">Assumptions!$B$14*Assumptions!$B$15^A169</f>
        <v>7035152.58644913</v>
      </c>
      <c r="C169" s="7" t="n">
        <f aca="false">Assumptions!$B$16*A169*Assumptions!$B$18^INT(A169/Assumptions!$B$17)</f>
        <v>3420160</v>
      </c>
      <c r="D169" s="8" t="n">
        <f aca="false">B169*Assumptions!$B$21</f>
        <v>844218310.373896</v>
      </c>
      <c r="E169" s="8" t="n">
        <f aca="false">C169*Assumptions!$B$20</f>
        <v>136806400</v>
      </c>
    </row>
    <row r="170" customFormat="false" ht="15" hidden="false" customHeight="true" outlineLevel="0" collapsed="false">
      <c r="A170" s="3" t="n">
        <v>168</v>
      </c>
      <c r="B170" s="7" t="n">
        <f aca="false">Assumptions!$B$14*Assumptions!$B$15^A170</f>
        <v>7562789.03043282</v>
      </c>
      <c r="C170" s="7" t="n">
        <f aca="false">Assumptions!$B$16*A170*Assumptions!$B$18^INT(A170/Assumptions!$B$17)</f>
        <v>3440640</v>
      </c>
      <c r="D170" s="8" t="n">
        <f aca="false">B170*Assumptions!$B$21</f>
        <v>907534683.651938</v>
      </c>
      <c r="E170" s="8" t="n">
        <f aca="false">C170*Assumptions!$B$20</f>
        <v>137625600</v>
      </c>
    </row>
    <row r="171" customFormat="false" ht="15" hidden="false" customHeight="true" outlineLevel="0" collapsed="false">
      <c r="A171" s="3" t="n">
        <v>169</v>
      </c>
      <c r="B171" s="7" t="n">
        <f aca="false">Assumptions!$B$14*Assumptions!$B$15^A171</f>
        <v>8129998.20771528</v>
      </c>
      <c r="C171" s="7" t="n">
        <f aca="false">Assumptions!$B$16*A171*Assumptions!$B$18^INT(A171/Assumptions!$B$17)</f>
        <v>3461120</v>
      </c>
      <c r="D171" s="8" t="n">
        <f aca="false">B171*Assumptions!$B$21</f>
        <v>975599784.925834</v>
      </c>
      <c r="E171" s="8" t="n">
        <f aca="false">C171*Assumptions!$B$20</f>
        <v>138444800</v>
      </c>
    </row>
    <row r="172" customFormat="false" ht="15" hidden="false" customHeight="true" outlineLevel="0" collapsed="false">
      <c r="A172" s="3" t="n">
        <v>170</v>
      </c>
      <c r="B172" s="7" t="n">
        <f aca="false">Assumptions!$B$14*Assumptions!$B$15^A172</f>
        <v>8739748.07329392</v>
      </c>
      <c r="C172" s="7" t="n">
        <f aca="false">Assumptions!$B$16*A172*Assumptions!$B$18^INT(A172/Assumptions!$B$17)</f>
        <v>3481600</v>
      </c>
      <c r="D172" s="8" t="n">
        <f aca="false">B172*Assumptions!$B$21</f>
        <v>1048769768.79527</v>
      </c>
      <c r="E172" s="8" t="n">
        <f aca="false">C172*Assumptions!$B$20</f>
        <v>139264000</v>
      </c>
    </row>
    <row r="173" customFormat="false" ht="15" hidden="false" customHeight="true" outlineLevel="0" collapsed="false">
      <c r="A173" s="3" t="n">
        <v>171</v>
      </c>
      <c r="B173" s="7" t="n">
        <f aca="false">Assumptions!$B$14*Assumptions!$B$15^A173</f>
        <v>9395229.17879097</v>
      </c>
      <c r="C173" s="7" t="n">
        <f aca="false">Assumptions!$B$16*A173*Assumptions!$B$18^INT(A173/Assumptions!$B$17)</f>
        <v>3502080</v>
      </c>
      <c r="D173" s="8" t="n">
        <f aca="false">B173*Assumptions!$B$21</f>
        <v>1127427501.45492</v>
      </c>
      <c r="E173" s="8" t="n">
        <f aca="false">C173*Assumptions!$B$20</f>
        <v>140083200</v>
      </c>
    </row>
    <row r="174" customFormat="false" ht="15" hidden="false" customHeight="true" outlineLevel="0" collapsed="false">
      <c r="A174" s="3" t="n">
        <v>172</v>
      </c>
      <c r="B174" s="7" t="n">
        <f aca="false">Assumptions!$B$14*Assumptions!$B$15^A174</f>
        <v>10099871.3672003</v>
      </c>
      <c r="C174" s="7" t="n">
        <f aca="false">Assumptions!$B$16*A174*Assumptions!$B$18^INT(A174/Assumptions!$B$17)</f>
        <v>3522560</v>
      </c>
      <c r="D174" s="8" t="n">
        <f aca="false">B174*Assumptions!$B$21</f>
        <v>1211984564.06403</v>
      </c>
      <c r="E174" s="8" t="n">
        <f aca="false">C174*Assumptions!$B$20</f>
        <v>140902400</v>
      </c>
    </row>
    <row r="175" customFormat="false" ht="15" hidden="false" customHeight="true" outlineLevel="0" collapsed="false">
      <c r="A175" s="3" t="n">
        <v>173</v>
      </c>
      <c r="B175" s="7" t="n">
        <f aca="false">Assumptions!$B$14*Assumptions!$B$15^A175</f>
        <v>10857361.7197403</v>
      </c>
      <c r="C175" s="7" t="n">
        <f aca="false">Assumptions!$B$16*A175*Assumptions!$B$18^INT(A175/Assumptions!$B$17)</f>
        <v>3543040</v>
      </c>
      <c r="D175" s="8" t="n">
        <f aca="false">B175*Assumptions!$B$21</f>
        <v>1302883406.36884</v>
      </c>
      <c r="E175" s="8" t="n">
        <f aca="false">C175*Assumptions!$B$20</f>
        <v>141721600</v>
      </c>
    </row>
    <row r="176" customFormat="false" ht="15" hidden="false" customHeight="true" outlineLevel="0" collapsed="false">
      <c r="A176" s="3" t="n">
        <v>174</v>
      </c>
      <c r="B176" s="7" t="n">
        <f aca="false">Assumptions!$B$14*Assumptions!$B$15^A176</f>
        <v>11671663.8487208</v>
      </c>
      <c r="C176" s="7" t="n">
        <f aca="false">Assumptions!$B$16*A176*Assumptions!$B$18^INT(A176/Assumptions!$B$17)</f>
        <v>3563520</v>
      </c>
      <c r="D176" s="8" t="n">
        <f aca="false">B176*Assumptions!$B$21</f>
        <v>1400599661.8465</v>
      </c>
      <c r="E176" s="8" t="n">
        <f aca="false">C176*Assumptions!$B$20</f>
        <v>142540800</v>
      </c>
    </row>
    <row r="177" customFormat="false" ht="15" hidden="false" customHeight="true" outlineLevel="0" collapsed="false">
      <c r="A177" s="3" t="n">
        <v>175</v>
      </c>
      <c r="B177" s="7" t="n">
        <f aca="false">Assumptions!$B$14*Assumptions!$B$15^A177</f>
        <v>12547038.6373749</v>
      </c>
      <c r="C177" s="7" t="n">
        <f aca="false">Assumptions!$B$16*A177*Assumptions!$B$18^INT(A177/Assumptions!$B$17)</f>
        <v>14336000</v>
      </c>
      <c r="D177" s="8" t="n">
        <f aca="false">B177*Assumptions!$B$21</f>
        <v>1505644636.48499</v>
      </c>
      <c r="E177" s="8" t="n">
        <f aca="false">C177*Assumptions!$B$20</f>
        <v>573440000</v>
      </c>
    </row>
    <row r="178" customFormat="false" ht="15" hidden="false" customHeight="true" outlineLevel="0" collapsed="false">
      <c r="A178" s="3" t="n">
        <v>176</v>
      </c>
      <c r="B178" s="7" t="n">
        <f aca="false">Assumptions!$B$14*Assumptions!$B$15^A178</f>
        <v>13488066.535178</v>
      </c>
      <c r="C178" s="7" t="n">
        <f aca="false">Assumptions!$B$16*A178*Assumptions!$B$18^INT(A178/Assumptions!$B$17)</f>
        <v>14417920</v>
      </c>
      <c r="D178" s="8" t="n">
        <f aca="false">B178*Assumptions!$B$21</f>
        <v>1618567984.22136</v>
      </c>
      <c r="E178" s="8" t="n">
        <f aca="false">C178*Assumptions!$B$20</f>
        <v>576716800</v>
      </c>
    </row>
    <row r="179" customFormat="false" ht="15" hidden="false" customHeight="true" outlineLevel="0" collapsed="false">
      <c r="A179" s="3" t="n">
        <v>177</v>
      </c>
      <c r="B179" s="7" t="n">
        <f aca="false">Assumptions!$B$14*Assumptions!$B$15^A179</f>
        <v>14499671.5253164</v>
      </c>
      <c r="C179" s="7" t="n">
        <f aca="false">Assumptions!$B$16*A179*Assumptions!$B$18^INT(A179/Assumptions!$B$17)</f>
        <v>14499840</v>
      </c>
      <c r="D179" s="8" t="n">
        <f aca="false">B179*Assumptions!$B$21</f>
        <v>1739960583.03796</v>
      </c>
      <c r="E179" s="8" t="n">
        <f aca="false">C179*Assumptions!$B$20</f>
        <v>579993600</v>
      </c>
    </row>
    <row r="180" customFormat="false" ht="15" hidden="false" customHeight="true" outlineLevel="0" collapsed="false">
      <c r="A180" s="3" t="n">
        <v>178</v>
      </c>
      <c r="B180" s="7" t="n">
        <f aca="false">Assumptions!$B$14*Assumptions!$B$15^A180</f>
        <v>15587146.8897151</v>
      </c>
      <c r="C180" s="7" t="n">
        <f aca="false">Assumptions!$B$16*A180*Assumptions!$B$18^INT(A180/Assumptions!$B$17)</f>
        <v>14581760</v>
      </c>
      <c r="D180" s="8" t="n">
        <f aca="false">B180*Assumptions!$B$21</f>
        <v>1870457626.76581</v>
      </c>
      <c r="E180" s="8" t="n">
        <f aca="false">C180*Assumptions!$B$20</f>
        <v>583270400</v>
      </c>
    </row>
    <row r="181" customFormat="false" ht="15" hidden="false" customHeight="true" outlineLevel="0" collapsed="false">
      <c r="A181" s="3" t="n">
        <v>179</v>
      </c>
      <c r="B181" s="7" t="n">
        <f aca="false">Assumptions!$B$14*Assumptions!$B$15^A181</f>
        <v>16756182.9064437</v>
      </c>
      <c r="C181" s="7" t="n">
        <f aca="false">Assumptions!$B$16*A181*Assumptions!$B$18^INT(A181/Assumptions!$B$17)</f>
        <v>14663680</v>
      </c>
      <c r="D181" s="8" t="n">
        <f aca="false">B181*Assumptions!$B$21</f>
        <v>2010741948.77325</v>
      </c>
      <c r="E181" s="8" t="n">
        <f aca="false">C181*Assumptions!$B$20</f>
        <v>586547200</v>
      </c>
    </row>
    <row r="182" customFormat="false" ht="15" hidden="false" customHeight="true" outlineLevel="0" collapsed="false">
      <c r="A182" s="3" t="n">
        <v>180</v>
      </c>
      <c r="B182" s="7" t="n">
        <f aca="false">Assumptions!$B$14*Assumptions!$B$15^A182</f>
        <v>18012896.624427</v>
      </c>
      <c r="C182" s="7" t="n">
        <f aca="false">Assumptions!$B$16*A182*Assumptions!$B$18^INT(A182/Assumptions!$B$17)</f>
        <v>14745600</v>
      </c>
      <c r="D182" s="8" t="n">
        <f aca="false">B182*Assumptions!$B$21</f>
        <v>2161547594.93124</v>
      </c>
      <c r="E182" s="8" t="n">
        <f aca="false">C182*Assumptions!$B$20</f>
        <v>589824000</v>
      </c>
    </row>
    <row r="183" customFormat="false" ht="15" hidden="false" customHeight="true" outlineLevel="0" collapsed="false">
      <c r="A183" s="3" t="n">
        <v>181</v>
      </c>
      <c r="B183" s="7" t="n">
        <f aca="false">Assumptions!$B$14*Assumptions!$B$15^A183</f>
        <v>19363863.871259</v>
      </c>
      <c r="C183" s="7" t="n">
        <f aca="false">Assumptions!$B$16*A183*Assumptions!$B$18^INT(A183/Assumptions!$B$17)</f>
        <v>14827520</v>
      </c>
      <c r="D183" s="8" t="n">
        <f aca="false">B183*Assumptions!$B$21</f>
        <v>2323663664.55108</v>
      </c>
      <c r="E183" s="8" t="n">
        <f aca="false">C183*Assumptions!$B$20</f>
        <v>593100800</v>
      </c>
    </row>
    <row r="184" customFormat="false" ht="15" hidden="false" customHeight="true" outlineLevel="0" collapsed="false">
      <c r="A184" s="3" t="n">
        <v>182</v>
      </c>
      <c r="B184" s="7" t="n">
        <f aca="false">Assumptions!$B$14*Assumptions!$B$15^A184</f>
        <v>20816153.6616034</v>
      </c>
      <c r="C184" s="7" t="n">
        <f aca="false">Assumptions!$B$16*A184*Assumptions!$B$18^INT(A184/Assumptions!$B$17)</f>
        <v>14909440</v>
      </c>
      <c r="D184" s="8" t="n">
        <f aca="false">B184*Assumptions!$B$21</f>
        <v>2497938439.39241</v>
      </c>
      <c r="E184" s="8" t="n">
        <f aca="false">C184*Assumptions!$B$20</f>
        <v>596377600</v>
      </c>
    </row>
    <row r="185" customFormat="false" ht="15" hidden="false" customHeight="true" outlineLevel="0" collapsed="false">
      <c r="A185" s="3" t="n">
        <v>183</v>
      </c>
      <c r="B185" s="7" t="n">
        <f aca="false">Assumptions!$B$14*Assumptions!$B$15^A185</f>
        <v>22377365.1862237</v>
      </c>
      <c r="C185" s="7" t="n">
        <f aca="false">Assumptions!$B$16*A185*Assumptions!$B$18^INT(A185/Assumptions!$B$17)</f>
        <v>14991360</v>
      </c>
      <c r="D185" s="8" t="n">
        <f aca="false">B185*Assumptions!$B$21</f>
        <v>2685283822.34684</v>
      </c>
      <c r="E185" s="8" t="n">
        <f aca="false">C185*Assumptions!$B$20</f>
        <v>599654400</v>
      </c>
    </row>
    <row r="186" customFormat="false" ht="15" hidden="false" customHeight="true" outlineLevel="0" collapsed="false">
      <c r="A186" s="3" t="n">
        <v>184</v>
      </c>
      <c r="B186" s="7" t="n">
        <f aca="false">Assumptions!$B$14*Assumptions!$B$15^A186</f>
        <v>24055667.5751905</v>
      </c>
      <c r="C186" s="7" t="n">
        <f aca="false">Assumptions!$B$16*A186*Assumptions!$B$18^INT(A186/Assumptions!$B$17)</f>
        <v>15073280</v>
      </c>
      <c r="D186" s="8" t="n">
        <f aca="false">B186*Assumptions!$B$21</f>
        <v>2886680109.02286</v>
      </c>
      <c r="E186" s="8" t="n">
        <f aca="false">C186*Assumptions!$B$20</f>
        <v>602931200</v>
      </c>
    </row>
    <row r="187" customFormat="false" ht="15" hidden="false" customHeight="true" outlineLevel="0" collapsed="false">
      <c r="A187" s="3" t="n">
        <v>185</v>
      </c>
      <c r="B187" s="7" t="n">
        <f aca="false">Assumptions!$B$14*Assumptions!$B$15^A187</f>
        <v>25859842.6433298</v>
      </c>
      <c r="C187" s="7" t="n">
        <f aca="false">Assumptions!$B$16*A187*Assumptions!$B$18^INT(A187/Assumptions!$B$17)</f>
        <v>15155200</v>
      </c>
      <c r="D187" s="8" t="n">
        <f aca="false">B187*Assumptions!$B$21</f>
        <v>3103181117.19957</v>
      </c>
      <c r="E187" s="8" t="n">
        <f aca="false">C187*Assumptions!$B$20</f>
        <v>606208000</v>
      </c>
    </row>
    <row r="188" customFormat="false" ht="15" hidden="false" customHeight="true" outlineLevel="0" collapsed="false">
      <c r="A188" s="3" t="n">
        <v>186</v>
      </c>
      <c r="B188" s="7" t="n">
        <f aca="false">Assumptions!$B$14*Assumptions!$B$15^A188</f>
        <v>27799330.8415795</v>
      </c>
      <c r="C188" s="7" t="n">
        <f aca="false">Assumptions!$B$16*A188*Assumptions!$B$18^INT(A188/Assumptions!$B$17)</f>
        <v>15237120</v>
      </c>
      <c r="D188" s="8" t="n">
        <f aca="false">B188*Assumptions!$B$21</f>
        <v>3335919700.98954</v>
      </c>
      <c r="E188" s="8" t="n">
        <f aca="false">C188*Assumptions!$B$20</f>
        <v>609484800</v>
      </c>
    </row>
    <row r="189" customFormat="false" ht="15" hidden="false" customHeight="true" outlineLevel="0" collapsed="false">
      <c r="A189" s="3" t="n">
        <v>187</v>
      </c>
      <c r="B189" s="7" t="n">
        <f aca="false">Assumptions!$B$14*Assumptions!$B$15^A189</f>
        <v>29884280.654698</v>
      </c>
      <c r="C189" s="7" t="n">
        <f aca="false">Assumptions!$B$16*A189*Assumptions!$B$18^INT(A189/Assumptions!$B$17)</f>
        <v>15319040</v>
      </c>
      <c r="D189" s="8" t="n">
        <f aca="false">B189*Assumptions!$B$21</f>
        <v>3586113678.56376</v>
      </c>
      <c r="E189" s="8" t="n">
        <f aca="false">C189*Assumptions!$B$20</f>
        <v>612761600</v>
      </c>
    </row>
    <row r="190" customFormat="false" ht="15" hidden="false" customHeight="true" outlineLevel="0" collapsed="false">
      <c r="A190" s="3" t="n">
        <v>188</v>
      </c>
      <c r="B190" s="7" t="n">
        <f aca="false">Assumptions!$B$14*Assumptions!$B$15^A190</f>
        <v>32125601.7038003</v>
      </c>
      <c r="C190" s="7" t="n">
        <f aca="false">Assumptions!$B$16*A190*Assumptions!$B$18^INT(A190/Assumptions!$B$17)</f>
        <v>15400960</v>
      </c>
      <c r="D190" s="8" t="n">
        <f aca="false">B190*Assumptions!$B$21</f>
        <v>3855072204.45604</v>
      </c>
      <c r="E190" s="8" t="n">
        <f aca="false">C190*Assumptions!$B$20</f>
        <v>616038400</v>
      </c>
    </row>
    <row r="191" customFormat="false" ht="15" hidden="false" customHeight="true" outlineLevel="0" collapsed="false">
      <c r="A191" s="3" t="n">
        <v>189</v>
      </c>
      <c r="B191" s="7" t="n">
        <f aca="false">Assumptions!$B$14*Assumptions!$B$15^A191</f>
        <v>34535021.8315853</v>
      </c>
      <c r="C191" s="7" t="n">
        <f aca="false">Assumptions!$B$16*A191*Assumptions!$B$18^INT(A191/Assumptions!$B$17)</f>
        <v>15482880</v>
      </c>
      <c r="D191" s="8" t="n">
        <f aca="false">B191*Assumptions!$B$21</f>
        <v>4144202619.79024</v>
      </c>
      <c r="E191" s="8" t="n">
        <f aca="false">C191*Assumptions!$B$20</f>
        <v>619315200</v>
      </c>
    </row>
    <row r="192" customFormat="false" ht="15" hidden="false" customHeight="true" outlineLevel="0" collapsed="false">
      <c r="A192" s="3" t="n">
        <v>190</v>
      </c>
      <c r="B192" s="7" t="n">
        <f aca="false">Assumptions!$B$14*Assumptions!$B$15^A192</f>
        <v>37125148.4689542</v>
      </c>
      <c r="C192" s="7" t="n">
        <f aca="false">Assumptions!$B$16*A192*Assumptions!$B$18^INT(A192/Assumptions!$B$17)</f>
        <v>15564800</v>
      </c>
      <c r="D192" s="8" t="n">
        <f aca="false">B192*Assumptions!$B$21</f>
        <v>4455017816.27451</v>
      </c>
      <c r="E192" s="8" t="n">
        <f aca="false">C192*Assumptions!$B$20</f>
        <v>622592000</v>
      </c>
    </row>
    <row r="193" customFormat="false" ht="15" hidden="false" customHeight="true" outlineLevel="0" collapsed="false">
      <c r="A193" s="3" t="n">
        <v>191</v>
      </c>
      <c r="B193" s="7" t="n">
        <f aca="false">Assumptions!$B$14*Assumptions!$B$15^A193</f>
        <v>39909534.6041258</v>
      </c>
      <c r="C193" s="7" t="n">
        <f aca="false">Assumptions!$B$16*A193*Assumptions!$B$18^INT(A193/Assumptions!$B$17)</f>
        <v>15646720</v>
      </c>
      <c r="D193" s="8" t="n">
        <f aca="false">B193*Assumptions!$B$21</f>
        <v>4789144152.4951</v>
      </c>
      <c r="E193" s="8" t="n">
        <f aca="false">C193*Assumptions!$B$20</f>
        <v>625868800</v>
      </c>
    </row>
    <row r="194" customFormat="false" ht="15" hidden="false" customHeight="true" outlineLevel="0" collapsed="false">
      <c r="A194" s="3" t="n">
        <v>192</v>
      </c>
      <c r="B194" s="7" t="n">
        <f aca="false">Assumptions!$B$14*Assumptions!$B$15^A194</f>
        <v>42902749.6994352</v>
      </c>
      <c r="C194" s="7" t="n">
        <f aca="false">Assumptions!$B$16*A194*Assumptions!$B$18^INT(A194/Assumptions!$B$17)</f>
        <v>15728640</v>
      </c>
      <c r="D194" s="8" t="n">
        <f aca="false">B194*Assumptions!$B$21</f>
        <v>5148329963.93223</v>
      </c>
      <c r="E194" s="8" t="n">
        <f aca="false">C194*Assumptions!$B$20</f>
        <v>629145600</v>
      </c>
    </row>
    <row r="195" customFormat="false" ht="15" hidden="false" customHeight="true" outlineLevel="0" collapsed="false">
      <c r="A195" s="3" t="n">
        <v>193</v>
      </c>
      <c r="B195" s="7" t="n">
        <f aca="false">Assumptions!$B$14*Assumptions!$B$15^A195</f>
        <v>46120455.9268929</v>
      </c>
      <c r="C195" s="7" t="n">
        <f aca="false">Assumptions!$B$16*A195*Assumptions!$B$18^INT(A195/Assumptions!$B$17)</f>
        <v>15810560</v>
      </c>
      <c r="D195" s="8" t="n">
        <f aca="false">B195*Assumptions!$B$21</f>
        <v>5534454711.22714</v>
      </c>
      <c r="E195" s="8" t="n">
        <f aca="false">C195*Assumptions!$B$20</f>
        <v>632422400</v>
      </c>
    </row>
    <row r="196" customFormat="false" ht="15" hidden="false" customHeight="true" outlineLevel="0" collapsed="false">
      <c r="A196" s="3" t="n">
        <v>194</v>
      </c>
      <c r="B196" s="7" t="n">
        <f aca="false">Assumptions!$B$14*Assumptions!$B$15^A196</f>
        <v>49579490.1214098</v>
      </c>
      <c r="C196" s="7" t="n">
        <f aca="false">Assumptions!$B$16*A196*Assumptions!$B$18^INT(A196/Assumptions!$B$17)</f>
        <v>15892480</v>
      </c>
      <c r="D196" s="8" t="n">
        <f aca="false">B196*Assumptions!$B$21</f>
        <v>5949538814.56918</v>
      </c>
      <c r="E196" s="8" t="n">
        <f aca="false">C196*Assumptions!$B$20</f>
        <v>635699200</v>
      </c>
    </row>
    <row r="197" customFormat="false" ht="15" hidden="false" customHeight="true" outlineLevel="0" collapsed="false">
      <c r="A197" s="3" t="n">
        <v>195</v>
      </c>
      <c r="B197" s="7" t="n">
        <f aca="false">Assumptions!$B$14*Assumptions!$B$15^A197</f>
        <v>53297951.8805156</v>
      </c>
      <c r="C197" s="7" t="n">
        <f aca="false">Assumptions!$B$16*A197*Assumptions!$B$18^INT(A197/Assumptions!$B$17)</f>
        <v>15974400</v>
      </c>
      <c r="D197" s="8" t="n">
        <f aca="false">B197*Assumptions!$B$21</f>
        <v>6395754225.66187</v>
      </c>
      <c r="E197" s="8" t="n">
        <f aca="false">C197*Assumptions!$B$20</f>
        <v>638976000</v>
      </c>
    </row>
    <row r="198" customFormat="false" ht="15" hidden="false" customHeight="true" outlineLevel="0" collapsed="false">
      <c r="A198" s="3" t="n">
        <v>196</v>
      </c>
      <c r="B198" s="7" t="n">
        <f aca="false">Assumptions!$B$14*Assumptions!$B$15^A198</f>
        <v>57295298.2715542</v>
      </c>
      <c r="C198" s="7" t="n">
        <f aca="false">Assumptions!$B$16*A198*Assumptions!$B$18^INT(A198/Assumptions!$B$17)</f>
        <v>16056320</v>
      </c>
      <c r="D198" s="8" t="n">
        <f aca="false">B198*Assumptions!$B$21</f>
        <v>6875435792.58651</v>
      </c>
      <c r="E198" s="8" t="n">
        <f aca="false">C198*Assumptions!$B$20</f>
        <v>642252800</v>
      </c>
    </row>
    <row r="199" customFormat="false" ht="15" hidden="false" customHeight="true" outlineLevel="0" collapsed="false">
      <c r="A199" s="3" t="n">
        <v>197</v>
      </c>
      <c r="B199" s="7" t="n">
        <f aca="false">Assumptions!$B$14*Assumptions!$B$15^A199</f>
        <v>61592445.6419208</v>
      </c>
      <c r="C199" s="7" t="n">
        <f aca="false">Assumptions!$B$16*A199*Assumptions!$B$18^INT(A199/Assumptions!$B$17)</f>
        <v>16138240</v>
      </c>
      <c r="D199" s="8" t="n">
        <f aca="false">B199*Assumptions!$B$21</f>
        <v>7391093477.0305</v>
      </c>
      <c r="E199" s="8" t="n">
        <f aca="false">C199*Assumptions!$B$20</f>
        <v>645529600</v>
      </c>
    </row>
    <row r="200" customFormat="false" ht="15" hidden="false" customHeight="true" outlineLevel="0" collapsed="false">
      <c r="A200" s="3" t="n">
        <v>198</v>
      </c>
      <c r="B200" s="7" t="n">
        <f aca="false">Assumptions!$B$14*Assumptions!$B$15^A200</f>
        <v>66211879.0650649</v>
      </c>
      <c r="C200" s="7" t="n">
        <f aca="false">Assumptions!$B$16*A200*Assumptions!$B$18^INT(A200/Assumptions!$B$17)</f>
        <v>16220160</v>
      </c>
      <c r="D200" s="8" t="n">
        <f aca="false">B200*Assumptions!$B$21</f>
        <v>7945425487.80778</v>
      </c>
      <c r="E200" s="8" t="n">
        <f aca="false">C200*Assumptions!$B$20</f>
        <v>648806400</v>
      </c>
    </row>
    <row r="201" customFormat="false" ht="15" hidden="false" customHeight="true" outlineLevel="0" collapsed="false">
      <c r="A201" s="3" t="n">
        <v>199</v>
      </c>
      <c r="B201" s="7" t="n">
        <f aca="false">Assumptions!$B$14*Assumptions!$B$15^A201</f>
        <v>71177769.9949447</v>
      </c>
      <c r="C201" s="7" t="n">
        <f aca="false">Assumptions!$B$16*A201*Assumptions!$B$18^INT(A201/Assumptions!$B$17)</f>
        <v>16302080</v>
      </c>
      <c r="D201" s="8" t="n">
        <f aca="false">B201*Assumptions!$B$21</f>
        <v>8541332399.39337</v>
      </c>
      <c r="E201" s="8" t="n">
        <f aca="false">C201*Assumptions!$B$20</f>
        <v>652083200</v>
      </c>
    </row>
    <row r="202" customFormat="false" ht="15" hidden="false" customHeight="true" outlineLevel="0" collapsed="false">
      <c r="A202" s="3" t="n">
        <v>200</v>
      </c>
      <c r="B202" s="7" t="n">
        <f aca="false">Assumptions!$B$14*Assumptions!$B$15^A202</f>
        <v>76516102.7445656</v>
      </c>
      <c r="C202" s="7" t="n">
        <f aca="false">Assumptions!$B$16*A202*Assumptions!$B$18^INT(A202/Assumptions!$B$17)</f>
        <v>65536000</v>
      </c>
      <c r="D202" s="8" t="n">
        <f aca="false">B202*Assumptions!$B$21</f>
        <v>9181932329.34787</v>
      </c>
      <c r="E202" s="8" t="n">
        <f aca="false">C202*Assumptions!$B$20</f>
        <v>2621440000</v>
      </c>
    </row>
    <row r="203" customFormat="false" ht="15" hidden="false" customHeight="true" outlineLevel="0" collapsed="false">
      <c r="A203" s="3" t="n">
        <v>201</v>
      </c>
      <c r="B203" s="7" t="n">
        <f aca="false">Assumptions!$B$14*Assumptions!$B$15^A203</f>
        <v>82254810.450408</v>
      </c>
      <c r="C203" s="7" t="n">
        <f aca="false">Assumptions!$B$16*A203*Assumptions!$B$18^INT(A203/Assumptions!$B$17)</f>
        <v>65863680</v>
      </c>
      <c r="D203" s="8" t="n">
        <f aca="false">B203*Assumptions!$B$21</f>
        <v>9870577254.04896</v>
      </c>
      <c r="E203" s="8" t="n">
        <f aca="false">C203*Assumptions!$B$20</f>
        <v>2634547200</v>
      </c>
    </row>
    <row r="204" customFormat="false" ht="15" hidden="false" customHeight="true" outlineLevel="0" collapsed="false">
      <c r="A204" s="3" t="n">
        <v>202</v>
      </c>
      <c r="B204" s="7" t="n">
        <f aca="false">Assumptions!$B$14*Assumptions!$B$15^A204</f>
        <v>88423921.2341886</v>
      </c>
      <c r="C204" s="7" t="n">
        <f aca="false">Assumptions!$B$16*A204*Assumptions!$B$18^INT(A204/Assumptions!$B$17)</f>
        <v>66191360</v>
      </c>
      <c r="D204" s="8" t="n">
        <f aca="false">B204*Assumptions!$B$21</f>
        <v>10610870548.1026</v>
      </c>
      <c r="E204" s="8" t="n">
        <f aca="false">C204*Assumptions!$B$20</f>
        <v>2647654400</v>
      </c>
    </row>
    <row r="205" customFormat="false" ht="15" hidden="false" customHeight="true" outlineLevel="0" collapsed="false">
      <c r="A205" s="3" t="n">
        <v>203</v>
      </c>
      <c r="B205" s="7" t="n">
        <f aca="false">Assumptions!$B$14*Assumptions!$B$15^A205</f>
        <v>95055715.3267527</v>
      </c>
      <c r="C205" s="7" t="n">
        <f aca="false">Assumptions!$B$16*A205*Assumptions!$B$18^INT(A205/Assumptions!$B$17)</f>
        <v>66519040</v>
      </c>
      <c r="D205" s="8" t="n">
        <f aca="false">B205*Assumptions!$B$21</f>
        <v>11406685839.2103</v>
      </c>
      <c r="E205" s="8" t="n">
        <f aca="false">C205*Assumptions!$B$20</f>
        <v>2660761600</v>
      </c>
    </row>
    <row r="206" customFormat="false" ht="15" hidden="false" customHeight="true" outlineLevel="0" collapsed="false">
      <c r="A206" s="3" t="n">
        <v>204</v>
      </c>
      <c r="B206" s="7" t="n">
        <f aca="false">Assumptions!$B$14*Assumptions!$B$15^A206</f>
        <v>102184893.976259</v>
      </c>
      <c r="C206" s="7" t="n">
        <f aca="false">Assumptions!$B$16*A206*Assumptions!$B$18^INT(A206/Assumptions!$B$17)</f>
        <v>66846720</v>
      </c>
      <c r="D206" s="8" t="n">
        <f aca="false">B206*Assumptions!$B$21</f>
        <v>12262187277.1511</v>
      </c>
      <c r="E206" s="8" t="n">
        <f aca="false">C206*Assumptions!$B$20</f>
        <v>2673868800</v>
      </c>
    </row>
    <row r="207" customFormat="false" ht="15" hidden="false" customHeight="true" outlineLevel="0" collapsed="false">
      <c r="A207" s="3" t="n">
        <v>205</v>
      </c>
      <c r="B207" s="7" t="n">
        <f aca="false">Assumptions!$B$14*Assumptions!$B$15^A207</f>
        <v>109848761.024479</v>
      </c>
      <c r="C207" s="7" t="n">
        <f aca="false">Assumptions!$B$16*A207*Assumptions!$B$18^INT(A207/Assumptions!$B$17)</f>
        <v>67174400</v>
      </c>
      <c r="D207" s="8" t="n">
        <f aca="false">B207*Assumptions!$B$21</f>
        <v>13181851322.9374</v>
      </c>
      <c r="E207" s="8" t="n">
        <f aca="false">C207*Assumptions!$B$20</f>
        <v>2686976000</v>
      </c>
    </row>
    <row r="208" customFormat="false" ht="15" hidden="false" customHeight="true" outlineLevel="0" collapsed="false">
      <c r="A208" s="3" t="n">
        <v>206</v>
      </c>
      <c r="B208" s="7" t="n">
        <f aca="false">Assumptions!$B$14*Assumptions!$B$15^A208</f>
        <v>118087418.101314</v>
      </c>
      <c r="C208" s="7" t="n">
        <f aca="false">Assumptions!$B$16*A208*Assumptions!$B$18^INT(A208/Assumptions!$B$17)</f>
        <v>67502080</v>
      </c>
      <c r="D208" s="8" t="n">
        <f aca="false">B208*Assumptions!$B$21</f>
        <v>14170490172.1577</v>
      </c>
      <c r="E208" s="8" t="n">
        <f aca="false">C208*Assumptions!$B$20</f>
        <v>2700083200</v>
      </c>
    </row>
    <row r="209" customFormat="false" ht="15" hidden="false" customHeight="true" outlineLevel="0" collapsed="false">
      <c r="A209" s="3" t="n">
        <v>207</v>
      </c>
      <c r="B209" s="7" t="n">
        <f aca="false">Assumptions!$B$14*Assumptions!$B$15^A209</f>
        <v>126943974.458913</v>
      </c>
      <c r="C209" s="7" t="n">
        <f aca="false">Assumptions!$B$16*A209*Assumptions!$B$18^INT(A209/Assumptions!$B$17)</f>
        <v>67829760</v>
      </c>
      <c r="D209" s="8" t="n">
        <f aca="false">B209*Assumptions!$B$21</f>
        <v>15233276935.0696</v>
      </c>
      <c r="E209" s="8" t="n">
        <f aca="false">C209*Assumptions!$B$20</f>
        <v>2713190400</v>
      </c>
    </row>
    <row r="210" customFormat="false" ht="15" hidden="false" customHeight="true" outlineLevel="0" collapsed="false">
      <c r="A210" s="3" t="n">
        <v>208</v>
      </c>
      <c r="B210" s="7" t="n">
        <f aca="false">Assumptions!$B$14*Assumptions!$B$15^A210</f>
        <v>136464772.543332</v>
      </c>
      <c r="C210" s="7" t="n">
        <f aca="false">Assumptions!$B$16*A210*Assumptions!$B$18^INT(A210/Assumptions!$B$17)</f>
        <v>68157440</v>
      </c>
      <c r="D210" s="8" t="n">
        <f aca="false">B210*Assumptions!$B$21</f>
        <v>16375772705.1998</v>
      </c>
      <c r="E210" s="8" t="n">
        <f aca="false">C210*Assumptions!$B$20</f>
        <v>2726297600</v>
      </c>
    </row>
    <row r="211" customFormat="false" ht="15" hidden="false" customHeight="true" outlineLevel="0" collapsed="false">
      <c r="A211" s="3" t="n">
        <v>209</v>
      </c>
      <c r="B211" s="7" t="n">
        <f aca="false">Assumptions!$B$14*Assumptions!$B$15^A211</f>
        <v>146699630.484081</v>
      </c>
      <c r="C211" s="7" t="n">
        <f aca="false">Assumptions!$B$16*A211*Assumptions!$B$18^INT(A211/Assumptions!$B$17)</f>
        <v>68485120</v>
      </c>
      <c r="D211" s="8" t="n">
        <f aca="false">B211*Assumptions!$B$21</f>
        <v>17603955658.0898</v>
      </c>
      <c r="E211" s="8" t="n">
        <f aca="false">C211*Assumptions!$B$20</f>
        <v>2739404800</v>
      </c>
    </row>
    <row r="212" customFormat="false" ht="15" hidden="false" customHeight="true" outlineLevel="0" collapsed="false">
      <c r="A212" s="3" t="n">
        <v>210</v>
      </c>
      <c r="B212" s="7" t="n">
        <f aca="false">Assumptions!$B$14*Assumptions!$B$15^A212</f>
        <v>157702102.770388</v>
      </c>
      <c r="C212" s="7" t="n">
        <f aca="false">Assumptions!$B$16*A212*Assumptions!$B$18^INT(A212/Assumptions!$B$17)</f>
        <v>68812800</v>
      </c>
      <c r="D212" s="8" t="n">
        <f aca="false">B212*Assumptions!$B$21</f>
        <v>18924252332.4465</v>
      </c>
      <c r="E212" s="8" t="n">
        <f aca="false">C212*Assumptions!$B$20</f>
        <v>2752512000</v>
      </c>
    </row>
    <row r="213" customFormat="false" ht="15" hidden="false" customHeight="true" outlineLevel="0" collapsed="false">
      <c r="A213" s="3" t="n">
        <v>211</v>
      </c>
      <c r="B213" s="7" t="n">
        <f aca="false">Assumptions!$B$14*Assumptions!$B$15^A213</f>
        <v>169529760.478167</v>
      </c>
      <c r="C213" s="7" t="n">
        <f aca="false">Assumptions!$B$16*A213*Assumptions!$B$18^INT(A213/Assumptions!$B$17)</f>
        <v>69140480</v>
      </c>
      <c r="D213" s="8" t="n">
        <f aca="false">B213*Assumptions!$B$21</f>
        <v>20343571257.38</v>
      </c>
      <c r="E213" s="8" t="n">
        <f aca="false">C213*Assumptions!$B$20</f>
        <v>2765619200</v>
      </c>
    </row>
    <row r="214" customFormat="false" ht="15" hidden="false" customHeight="true" outlineLevel="0" collapsed="false">
      <c r="A214" s="3" t="n">
        <v>212</v>
      </c>
      <c r="B214" s="7" t="n">
        <f aca="false">Assumptions!$B$14*Assumptions!$B$15^A214</f>
        <v>182244492.514029</v>
      </c>
      <c r="C214" s="7" t="n">
        <f aca="false">Assumptions!$B$16*A214*Assumptions!$B$18^INT(A214/Assumptions!$B$17)</f>
        <v>69468160</v>
      </c>
      <c r="D214" s="8" t="n">
        <f aca="false">B214*Assumptions!$B$21</f>
        <v>21869339101.6835</v>
      </c>
      <c r="E214" s="8" t="n">
        <f aca="false">C214*Assumptions!$B$20</f>
        <v>2778726400</v>
      </c>
    </row>
    <row r="215" customFormat="false" ht="15" hidden="false" customHeight="true" outlineLevel="0" collapsed="false">
      <c r="A215" s="3" t="n">
        <v>213</v>
      </c>
      <c r="B215" s="7" t="n">
        <f aca="false">Assumptions!$B$14*Assumptions!$B$15^A215</f>
        <v>195912829.452581</v>
      </c>
      <c r="C215" s="7" t="n">
        <f aca="false">Assumptions!$B$16*A215*Assumptions!$B$18^INT(A215/Assumptions!$B$17)</f>
        <v>69795840</v>
      </c>
      <c r="D215" s="8" t="n">
        <f aca="false">B215*Assumptions!$B$21</f>
        <v>23509539534.3097</v>
      </c>
      <c r="E215" s="8" t="n">
        <f aca="false">C215*Assumptions!$B$20</f>
        <v>2791833600</v>
      </c>
    </row>
    <row r="216" customFormat="false" ht="15" hidden="false" customHeight="true" outlineLevel="0" collapsed="false">
      <c r="A216" s="3" t="n">
        <v>214</v>
      </c>
      <c r="B216" s="7" t="n">
        <f aca="false">Assumptions!$B$14*Assumptions!$B$15^A216</f>
        <v>210606291.661525</v>
      </c>
      <c r="C216" s="7" t="n">
        <f aca="false">Assumptions!$B$16*A216*Assumptions!$B$18^INT(A216/Assumptions!$B$17)</f>
        <v>70123520</v>
      </c>
      <c r="D216" s="8" t="n">
        <f aca="false">B216*Assumptions!$B$21</f>
        <v>25272754999.383</v>
      </c>
      <c r="E216" s="8" t="n">
        <f aca="false">C216*Assumptions!$B$20</f>
        <v>2804940800</v>
      </c>
    </row>
    <row r="217" customFormat="false" ht="15" hidden="false" customHeight="true" outlineLevel="0" collapsed="false">
      <c r="A217" s="3" t="n">
        <v>215</v>
      </c>
      <c r="B217" s="7" t="n">
        <f aca="false">Assumptions!$B$14*Assumptions!$B$15^A217</f>
        <v>226401763.536139</v>
      </c>
      <c r="C217" s="7" t="n">
        <f aca="false">Assumptions!$B$16*A217*Assumptions!$B$18^INT(A217/Assumptions!$B$17)</f>
        <v>70451200</v>
      </c>
      <c r="D217" s="8" t="n">
        <f aca="false">B217*Assumptions!$B$21</f>
        <v>27168211624.3367</v>
      </c>
      <c r="E217" s="8" t="n">
        <f aca="false">C217*Assumptions!$B$20</f>
        <v>2818048000</v>
      </c>
    </row>
    <row r="218" customFormat="false" ht="15" hidden="false" customHeight="true" outlineLevel="0" collapsed="false">
      <c r="A218" s="3" t="n">
        <v>216</v>
      </c>
      <c r="B218" s="7" t="n">
        <f aca="false">Assumptions!$B$14*Assumptions!$B$15^A218</f>
        <v>243381895.80135</v>
      </c>
      <c r="C218" s="7" t="n">
        <f aca="false">Assumptions!$B$16*A218*Assumptions!$B$18^INT(A218/Assumptions!$B$17)</f>
        <v>70778880</v>
      </c>
      <c r="D218" s="8" t="n">
        <f aca="false">B218*Assumptions!$B$21</f>
        <v>29205827496.1619</v>
      </c>
      <c r="E218" s="8" t="n">
        <f aca="false">C218*Assumptions!$B$20</f>
        <v>2831155200</v>
      </c>
    </row>
    <row r="219" customFormat="false" ht="15" hidden="false" customHeight="true" outlineLevel="0" collapsed="false">
      <c r="A219" s="3" t="n">
        <v>217</v>
      </c>
      <c r="B219" s="7" t="n">
        <f aca="false">Assumptions!$B$14*Assumptions!$B$15^A219</f>
        <v>261635537.986451</v>
      </c>
      <c r="C219" s="7" t="n">
        <f aca="false">Assumptions!$B$16*A219*Assumptions!$B$18^INT(A219/Assumptions!$B$17)</f>
        <v>71106560</v>
      </c>
      <c r="D219" s="8" t="n">
        <f aca="false">B219*Assumptions!$B$21</f>
        <v>31396264558.3741</v>
      </c>
      <c r="E219" s="8" t="n">
        <f aca="false">C219*Assumptions!$B$20</f>
        <v>2844262400</v>
      </c>
    </row>
    <row r="220" customFormat="false" ht="15" hidden="false" customHeight="true" outlineLevel="0" collapsed="false">
      <c r="A220" s="3" t="n">
        <v>218</v>
      </c>
      <c r="B220" s="7" t="n">
        <f aca="false">Assumptions!$B$14*Assumptions!$B$15^A220</f>
        <v>281258203.335435</v>
      </c>
      <c r="C220" s="7" t="n">
        <f aca="false">Assumptions!$B$16*A220*Assumptions!$B$18^INT(A220/Assumptions!$B$17)</f>
        <v>71434240</v>
      </c>
      <c r="D220" s="8" t="n">
        <f aca="false">B220*Assumptions!$B$21</f>
        <v>33750984400.2521</v>
      </c>
      <c r="E220" s="8" t="n">
        <f aca="false">C220*Assumptions!$B$20</f>
        <v>2857369600</v>
      </c>
    </row>
    <row r="221" customFormat="false" ht="15" hidden="false" customHeight="true" outlineLevel="0" collapsed="false">
      <c r="A221" s="3" t="n">
        <v>219</v>
      </c>
      <c r="B221" s="7" t="n">
        <f aca="false">Assumptions!$B$14*Assumptions!$B$15^A221</f>
        <v>302352568.585592</v>
      </c>
      <c r="C221" s="7" t="n">
        <f aca="false">Assumptions!$B$16*A221*Assumptions!$B$18^INT(A221/Assumptions!$B$17)</f>
        <v>71761920</v>
      </c>
      <c r="D221" s="8" t="n">
        <f aca="false">B221*Assumptions!$B$21</f>
        <v>36282308230.2711</v>
      </c>
      <c r="E221" s="8" t="n">
        <f aca="false">C221*Assumptions!$B$20</f>
        <v>2870476800</v>
      </c>
    </row>
    <row r="222" customFormat="false" ht="15" hidden="false" customHeight="true" outlineLevel="0" collapsed="false">
      <c r="A222" s="3" t="n">
        <v>220</v>
      </c>
      <c r="B222" s="7" t="n">
        <f aca="false">Assumptions!$B$14*Assumptions!$B$15^A222</f>
        <v>325029011.229512</v>
      </c>
      <c r="C222" s="7" t="n">
        <f aca="false">Assumptions!$B$16*A222*Assumptions!$B$18^INT(A222/Assumptions!$B$17)</f>
        <v>72089600</v>
      </c>
      <c r="D222" s="8" t="n">
        <f aca="false">B222*Assumptions!$B$21</f>
        <v>39003481347.5414</v>
      </c>
      <c r="E222" s="8" t="n">
        <f aca="false">C222*Assumptions!$B$20</f>
        <v>2883584000</v>
      </c>
    </row>
    <row r="223" customFormat="false" ht="15" hidden="false" customHeight="true" outlineLevel="0" collapsed="false">
      <c r="A223" s="3" t="n">
        <v>221</v>
      </c>
      <c r="B223" s="7" t="n">
        <f aca="false">Assumptions!$B$14*Assumptions!$B$15^A223</f>
        <v>349406187.071725</v>
      </c>
      <c r="C223" s="7" t="n">
        <f aca="false">Assumptions!$B$16*A223*Assumptions!$B$18^INT(A223/Assumptions!$B$17)</f>
        <v>72417280</v>
      </c>
      <c r="D223" s="8" t="n">
        <f aca="false">B223*Assumptions!$B$21</f>
        <v>41928742448.607</v>
      </c>
      <c r="E223" s="8" t="n">
        <f aca="false">C223*Assumptions!$B$20</f>
        <v>2896691200</v>
      </c>
    </row>
    <row r="224" customFormat="false" ht="15" hidden="false" customHeight="true" outlineLevel="0" collapsed="false">
      <c r="A224" s="3" t="n">
        <v>222</v>
      </c>
      <c r="B224" s="7" t="n">
        <f aca="false">Assumptions!$B$14*Assumptions!$B$15^A224</f>
        <v>375611651.102104</v>
      </c>
      <c r="C224" s="7" t="n">
        <f aca="false">Assumptions!$B$16*A224*Assumptions!$B$18^INT(A224/Assumptions!$B$17)</f>
        <v>72744960</v>
      </c>
      <c r="D224" s="8" t="n">
        <f aca="false">B224*Assumptions!$B$21</f>
        <v>45073398132.2525</v>
      </c>
      <c r="E224" s="8" t="n">
        <f aca="false">C224*Assumptions!$B$20</f>
        <v>2909798400</v>
      </c>
    </row>
    <row r="225" customFormat="false" ht="15" hidden="false" customHeight="true" outlineLevel="0" collapsed="false">
      <c r="A225" s="3" t="n">
        <v>223</v>
      </c>
      <c r="B225" s="7" t="n">
        <f aca="false">Assumptions!$B$14*Assumptions!$B$15^A225</f>
        <v>403782524.934762</v>
      </c>
      <c r="C225" s="7" t="n">
        <f aca="false">Assumptions!$B$16*A225*Assumptions!$B$18^INT(A225/Assumptions!$B$17)</f>
        <v>73072640</v>
      </c>
      <c r="D225" s="8" t="n">
        <f aca="false">B225*Assumptions!$B$21</f>
        <v>48453902992.1715</v>
      </c>
      <c r="E225" s="8" t="n">
        <f aca="false">C225*Assumptions!$B$20</f>
        <v>2922905600</v>
      </c>
    </row>
    <row r="226" customFormat="false" ht="15" hidden="false" customHeight="true" outlineLevel="0" collapsed="false">
      <c r="A226" s="3" t="n">
        <v>224</v>
      </c>
      <c r="B226" s="7" t="n">
        <f aca="false">Assumptions!$B$14*Assumptions!$B$15^A226</f>
        <v>434066214.304869</v>
      </c>
      <c r="C226" s="7" t="n">
        <f aca="false">Assumptions!$B$16*A226*Assumptions!$B$18^INT(A226/Assumptions!$B$17)</f>
        <v>73400320</v>
      </c>
      <c r="D226" s="8" t="n">
        <f aca="false">B226*Assumptions!$B$21</f>
        <v>52087945716.5843</v>
      </c>
      <c r="E226" s="8" t="n">
        <f aca="false">C226*Assumptions!$B$20</f>
        <v>2936012800</v>
      </c>
    </row>
    <row r="227" customFormat="false" ht="15" hidden="false" customHeight="true" outlineLevel="0" collapsed="false">
      <c r="A227" s="3" t="n">
        <v>225</v>
      </c>
      <c r="B227" s="7" t="n">
        <f aca="false">Assumptions!$B$14*Assumptions!$B$15^A227</f>
        <v>466621180.377734</v>
      </c>
      <c r="C227" s="7" t="n">
        <f aca="false">Assumptions!$B$16*A227*Assumptions!$B$18^INT(A227/Assumptions!$B$17)</f>
        <v>294912000</v>
      </c>
      <c r="D227" s="8" t="n">
        <f aca="false">B227*Assumptions!$B$21</f>
        <v>55994541645.3281</v>
      </c>
      <c r="E227" s="8" t="n">
        <f aca="false">C227*Assumptions!$B$20</f>
        <v>11796480000</v>
      </c>
    </row>
    <row r="228" customFormat="false" ht="15" hidden="false" customHeight="true" outlineLevel="0" collapsed="false">
      <c r="A228" s="3" t="n">
        <v>226</v>
      </c>
      <c r="B228" s="7" t="n">
        <f aca="false">Assumptions!$B$14*Assumptions!$B$15^A228</f>
        <v>501617768.906064</v>
      </c>
      <c r="C228" s="7" t="n">
        <f aca="false">Assumptions!$B$16*A228*Assumptions!$B$18^INT(A228/Assumptions!$B$17)</f>
        <v>296222720</v>
      </c>
      <c r="D228" s="8" t="n">
        <f aca="false">B228*Assumptions!$B$21</f>
        <v>60194132268.7277</v>
      </c>
      <c r="E228" s="8" t="n">
        <f aca="false">C228*Assumptions!$B$20</f>
        <v>11848908800</v>
      </c>
    </row>
    <row r="229" customFormat="false" ht="15" hidden="false" customHeight="true" outlineLevel="0" collapsed="false">
      <c r="A229" s="3" t="n">
        <v>227</v>
      </c>
      <c r="B229" s="7" t="n">
        <f aca="false">Assumptions!$B$14*Assumptions!$B$15^A229</f>
        <v>539239101.574019</v>
      </c>
      <c r="C229" s="7" t="n">
        <f aca="false">Assumptions!$B$16*A229*Assumptions!$B$18^INT(A229/Assumptions!$B$17)</f>
        <v>297533440</v>
      </c>
      <c r="D229" s="8" t="n">
        <f aca="false">B229*Assumptions!$B$21</f>
        <v>64708692188.8823</v>
      </c>
      <c r="E229" s="8" t="n">
        <f aca="false">C229*Assumptions!$B$20</f>
        <v>11901337600</v>
      </c>
    </row>
    <row r="230" customFormat="false" ht="15" hidden="false" customHeight="true" outlineLevel="0" collapsed="false">
      <c r="A230" s="3" t="n">
        <v>228</v>
      </c>
      <c r="B230" s="7" t="n">
        <f aca="false">Assumptions!$B$14*Assumptions!$B$15^A230</f>
        <v>579682034.192071</v>
      </c>
      <c r="C230" s="7" t="n">
        <f aca="false">Assumptions!$B$16*A230*Assumptions!$B$18^INT(A230/Assumptions!$B$17)</f>
        <v>298844160</v>
      </c>
      <c r="D230" s="8" t="n">
        <f aca="false">B230*Assumptions!$B$21</f>
        <v>69561844103.0485</v>
      </c>
      <c r="E230" s="8" t="n">
        <f aca="false">C230*Assumptions!$B$20</f>
        <v>11953766400</v>
      </c>
    </row>
    <row r="231" customFormat="false" ht="15" hidden="false" customHeight="true" outlineLevel="0" collapsed="false">
      <c r="A231" s="3" t="n">
        <v>229</v>
      </c>
      <c r="B231" s="7" t="n">
        <f aca="false">Assumptions!$B$14*Assumptions!$B$15^A231</f>
        <v>623158186.756476</v>
      </c>
      <c r="C231" s="7" t="n">
        <f aca="false">Assumptions!$B$16*A231*Assumptions!$B$18^INT(A231/Assumptions!$B$17)</f>
        <v>300154880</v>
      </c>
      <c r="D231" s="8" t="n">
        <f aca="false">B231*Assumptions!$B$21</f>
        <v>74778982410.7771</v>
      </c>
      <c r="E231" s="8" t="n">
        <f aca="false">C231*Assumptions!$B$20</f>
        <v>12006195200</v>
      </c>
    </row>
    <row r="232" customFormat="false" ht="15" hidden="false" customHeight="true" outlineLevel="0" collapsed="false">
      <c r="A232" s="3" t="n">
        <v>230</v>
      </c>
      <c r="B232" s="7" t="n">
        <f aca="false">Assumptions!$B$14*Assumptions!$B$15^A232</f>
        <v>669895050.763212</v>
      </c>
      <c r="C232" s="7" t="n">
        <f aca="false">Assumptions!$B$16*A232*Assumptions!$B$18^INT(A232/Assumptions!$B$17)</f>
        <v>301465600</v>
      </c>
      <c r="D232" s="8" t="n">
        <f aca="false">B232*Assumptions!$B$21</f>
        <v>80387406091.5854</v>
      </c>
      <c r="E232" s="8" t="n">
        <f aca="false">C232*Assumptions!$B$20</f>
        <v>12058624000</v>
      </c>
    </row>
    <row r="233" customFormat="false" ht="15" hidden="false" customHeight="true" outlineLevel="0" collapsed="false">
      <c r="A233" s="3" t="n">
        <v>231</v>
      </c>
      <c r="B233" s="7" t="n">
        <f aca="false">Assumptions!$B$14*Assumptions!$B$15^A233</f>
        <v>720137179.570453</v>
      </c>
      <c r="C233" s="7" t="n">
        <f aca="false">Assumptions!$B$16*A233*Assumptions!$B$18^INT(A233/Assumptions!$B$17)</f>
        <v>302776320</v>
      </c>
      <c r="D233" s="8" t="n">
        <f aca="false">B233*Assumptions!$B$21</f>
        <v>86416461548.4543</v>
      </c>
      <c r="E233" s="8" t="n">
        <f aca="false">C233*Assumptions!$B$20</f>
        <v>12111052800</v>
      </c>
    </row>
    <row r="234" customFormat="false" ht="15" hidden="false" customHeight="true" outlineLevel="0" collapsed="false">
      <c r="A234" s="3" t="n">
        <v>232</v>
      </c>
      <c r="B234" s="7" t="n">
        <f aca="false">Assumptions!$B$14*Assumptions!$B$15^A234</f>
        <v>774147468.038236</v>
      </c>
      <c r="C234" s="7" t="n">
        <f aca="false">Assumptions!$B$16*A234*Assumptions!$B$18^INT(A234/Assumptions!$B$17)</f>
        <v>304087040</v>
      </c>
      <c r="D234" s="8" t="n">
        <f aca="false">B234*Assumptions!$B$21</f>
        <v>92897696164.5883</v>
      </c>
      <c r="E234" s="8" t="n">
        <f aca="false">C234*Assumptions!$B$20</f>
        <v>12163481600</v>
      </c>
    </row>
    <row r="235" customFormat="false" ht="15" hidden="false" customHeight="true" outlineLevel="0" collapsed="false">
      <c r="A235" s="3" t="n">
        <v>233</v>
      </c>
      <c r="B235" s="7" t="n">
        <f aca="false">Assumptions!$B$14*Assumptions!$B$15^A235</f>
        <v>832208528.141104</v>
      </c>
      <c r="C235" s="7" t="n">
        <f aca="false">Assumptions!$B$16*A235*Assumptions!$B$18^INT(A235/Assumptions!$B$17)</f>
        <v>305397760</v>
      </c>
      <c r="D235" s="8" t="n">
        <f aca="false">B235*Assumptions!$B$21</f>
        <v>99865023376.9325</v>
      </c>
      <c r="E235" s="8" t="n">
        <f aca="false">C235*Assumptions!$B$20</f>
        <v>12215910400</v>
      </c>
    </row>
    <row r="236" customFormat="false" ht="15" hidden="false" customHeight="true" outlineLevel="0" collapsed="false">
      <c r="A236" s="3" t="n">
        <v>234</v>
      </c>
      <c r="B236" s="7" t="n">
        <f aca="false">Assumptions!$B$14*Assumptions!$B$15^A236</f>
        <v>894624167.751687</v>
      </c>
      <c r="C236" s="7" t="n">
        <f aca="false">Assumptions!$B$16*A236*Assumptions!$B$18^INT(A236/Assumptions!$B$17)</f>
        <v>306708480</v>
      </c>
      <c r="D236" s="8" t="n">
        <f aca="false">B236*Assumptions!$B$21</f>
        <v>107354900130.202</v>
      </c>
      <c r="E236" s="8" t="n">
        <f aca="false">C236*Assumptions!$B$20</f>
        <v>12268339200</v>
      </c>
    </row>
    <row r="237" customFormat="false" ht="15" hidden="false" customHeight="true" outlineLevel="0" collapsed="false">
      <c r="A237" s="3" t="n">
        <v>235</v>
      </c>
      <c r="B237" s="7" t="n">
        <f aca="false">Assumptions!$B$14*Assumptions!$B$15^A237</f>
        <v>961720980.333063</v>
      </c>
      <c r="C237" s="7" t="n">
        <f aca="false">Assumptions!$B$16*A237*Assumptions!$B$18^INT(A237/Assumptions!$B$17)</f>
        <v>308019200</v>
      </c>
      <c r="D237" s="8" t="n">
        <f aca="false">B237*Assumptions!$B$21</f>
        <v>115406517639.968</v>
      </c>
      <c r="E237" s="8" t="n">
        <f aca="false">C237*Assumptions!$B$20</f>
        <v>12320768000</v>
      </c>
    </row>
    <row r="238" customFormat="false" ht="15" hidden="false" customHeight="true" outlineLevel="0" collapsed="false">
      <c r="A238" s="3" t="n">
        <v>236</v>
      </c>
      <c r="B238" s="7" t="n">
        <f aca="false">Assumptions!$B$14*Assumptions!$B$15^A238</f>
        <v>1033850053.85804</v>
      </c>
      <c r="C238" s="7" t="n">
        <f aca="false">Assumptions!$B$16*A238*Assumptions!$B$18^INT(A238/Assumptions!$B$17)</f>
        <v>309329920</v>
      </c>
      <c r="D238" s="8" t="n">
        <f aca="false">B238*Assumptions!$B$21</f>
        <v>124062006462.965</v>
      </c>
      <c r="E238" s="8" t="n">
        <f aca="false">C238*Assumptions!$B$20</f>
        <v>12373196800</v>
      </c>
    </row>
    <row r="239" customFormat="false" ht="15" hidden="false" customHeight="true" outlineLevel="0" collapsed="false">
      <c r="A239" s="3" t="n">
        <v>237</v>
      </c>
      <c r="B239" s="7" t="n">
        <f aca="false">Assumptions!$B$14*Assumptions!$B$15^A239</f>
        <v>1111388807.8974</v>
      </c>
      <c r="C239" s="7" t="n">
        <f aca="false">Assumptions!$B$16*A239*Assumptions!$B$18^INT(A239/Assumptions!$B$17)</f>
        <v>310640640</v>
      </c>
      <c r="D239" s="8" t="n">
        <f aca="false">B239*Assumptions!$B$21</f>
        <v>133366656947.688</v>
      </c>
      <c r="E239" s="8" t="n">
        <f aca="false">C239*Assumptions!$B$20</f>
        <v>12425625600</v>
      </c>
    </row>
    <row r="240" customFormat="false" ht="15" hidden="false" customHeight="true" outlineLevel="0" collapsed="false">
      <c r="A240" s="3" t="n">
        <v>238</v>
      </c>
      <c r="B240" s="7" t="n">
        <f aca="false">Assumptions!$B$14*Assumptions!$B$15^A240</f>
        <v>1194742968.4897</v>
      </c>
      <c r="C240" s="7" t="n">
        <f aca="false">Assumptions!$B$16*A240*Assumptions!$B$18^INT(A240/Assumptions!$B$17)</f>
        <v>311951360</v>
      </c>
      <c r="D240" s="8" t="n">
        <f aca="false">B240*Assumptions!$B$21</f>
        <v>143369156218.764</v>
      </c>
      <c r="E240" s="8" t="n">
        <f aca="false">C240*Assumptions!$B$20</f>
        <v>12478054400</v>
      </c>
    </row>
    <row r="241" customFormat="false" ht="15" hidden="false" customHeight="true" outlineLevel="0" collapsed="false">
      <c r="A241" s="3" t="n">
        <v>239</v>
      </c>
      <c r="B241" s="7" t="n">
        <f aca="false">Assumptions!$B$14*Assumptions!$B$15^A241</f>
        <v>1284348691.12643</v>
      </c>
      <c r="C241" s="7" t="n">
        <f aca="false">Assumptions!$B$16*A241*Assumptions!$B$18^INT(A241/Assumptions!$B$17)</f>
        <v>313262080</v>
      </c>
      <c r="D241" s="8" t="n">
        <f aca="false">B241*Assumptions!$B$21</f>
        <v>154121842935.171</v>
      </c>
      <c r="E241" s="8" t="n">
        <f aca="false">C241*Assumptions!$B$20</f>
        <v>12530483200</v>
      </c>
    </row>
    <row r="242" customFormat="false" ht="15" hidden="false" customHeight="true" outlineLevel="0" collapsed="false">
      <c r="A242" s="3" t="n">
        <v>240</v>
      </c>
      <c r="B242" s="7" t="n">
        <f aca="false">Assumptions!$B$14*Assumptions!$B$15^A242</f>
        <v>1380674842.96091</v>
      </c>
      <c r="C242" s="7" t="n">
        <f aca="false">Assumptions!$B$16*A242*Assumptions!$B$18^INT(A242/Assumptions!$B$17)</f>
        <v>314572800</v>
      </c>
      <c r="D242" s="8" t="n">
        <f aca="false">B242*Assumptions!$B$21</f>
        <v>165680981155.309</v>
      </c>
      <c r="E242" s="8" t="n">
        <f aca="false">C242*Assumptions!$B$20</f>
        <v>12582912000</v>
      </c>
    </row>
    <row r="243" customFormat="false" ht="15" hidden="false" customHeight="true" outlineLevel="0" collapsed="false">
      <c r="A243" s="3" t="n">
        <v>241</v>
      </c>
      <c r="B243" s="7" t="n">
        <f aca="false">Assumptions!$B$14*Assumptions!$B$15^A243</f>
        <v>1484225456.18298</v>
      </c>
      <c r="C243" s="7" t="n">
        <f aca="false">Assumptions!$B$16*A243*Assumptions!$B$18^INT(A243/Assumptions!$B$17)</f>
        <v>315883520</v>
      </c>
      <c r="D243" s="8" t="n">
        <f aca="false">B243*Assumptions!$B$21</f>
        <v>178107054741.957</v>
      </c>
      <c r="E243" s="8" t="n">
        <f aca="false">C243*Assumptions!$B$20</f>
        <v>12635340800</v>
      </c>
    </row>
    <row r="244" customFormat="false" ht="15" hidden="false" customHeight="true" outlineLevel="0" collapsed="false">
      <c r="A244" s="3" t="n">
        <v>242</v>
      </c>
      <c r="B244" s="7" t="n">
        <f aca="false">Assumptions!$B$14*Assumptions!$B$15^A244</f>
        <v>1595542365.3967</v>
      </c>
      <c r="C244" s="7" t="n">
        <f aca="false">Assumptions!$B$16*A244*Assumptions!$B$18^INT(A244/Assumptions!$B$17)</f>
        <v>317194240</v>
      </c>
      <c r="D244" s="8" t="n">
        <f aca="false">B244*Assumptions!$B$21</f>
        <v>191465083847.604</v>
      </c>
      <c r="E244" s="8" t="n">
        <f aca="false">C244*Assumptions!$B$20</f>
        <v>12687769600</v>
      </c>
    </row>
    <row r="245" customFormat="false" ht="15" hidden="false" customHeight="true" outlineLevel="0" collapsed="false">
      <c r="A245" s="3" t="n">
        <v>243</v>
      </c>
      <c r="B245" s="7" t="n">
        <f aca="false">Assumptions!$B$14*Assumptions!$B$15^A245</f>
        <v>1715208042.80145</v>
      </c>
      <c r="C245" s="7" t="n">
        <f aca="false">Assumptions!$B$16*A245*Assumptions!$B$18^INT(A245/Assumptions!$B$17)</f>
        <v>318504960</v>
      </c>
      <c r="D245" s="8" t="n">
        <f aca="false">B245*Assumptions!$B$21</f>
        <v>205824965136.175</v>
      </c>
      <c r="E245" s="8" t="n">
        <f aca="false">C245*Assumptions!$B$20</f>
        <v>12740198400</v>
      </c>
    </row>
    <row r="246" customFormat="false" ht="15" hidden="false" customHeight="true" outlineLevel="0" collapsed="false">
      <c r="A246" s="3" t="n">
        <v>244</v>
      </c>
      <c r="B246" s="7" t="n">
        <f aca="false">Assumptions!$B$14*Assumptions!$B$15^A246</f>
        <v>1843848646.01156</v>
      </c>
      <c r="C246" s="7" t="n">
        <f aca="false">Assumptions!$B$16*A246*Assumptions!$B$18^INT(A246/Assumptions!$B$17)</f>
        <v>319815680</v>
      </c>
      <c r="D246" s="8" t="n">
        <f aca="false">B246*Assumptions!$B$21</f>
        <v>221261837521.388</v>
      </c>
      <c r="E246" s="8" t="n">
        <f aca="false">C246*Assumptions!$B$20</f>
        <v>12792627200</v>
      </c>
    </row>
    <row r="247" customFormat="false" ht="15" hidden="false" customHeight="true" outlineLevel="0" collapsed="false">
      <c r="A247" s="3" t="n">
        <v>245</v>
      </c>
      <c r="B247" s="7" t="n">
        <f aca="false">Assumptions!$B$14*Assumptions!$B$15^A247</f>
        <v>1982137294.46243</v>
      </c>
      <c r="C247" s="7" t="n">
        <f aca="false">Assumptions!$B$16*A247*Assumptions!$B$18^INT(A247/Assumptions!$B$17)</f>
        <v>321126400</v>
      </c>
      <c r="D247" s="8" t="n">
        <f aca="false">B247*Assumptions!$B$21</f>
        <v>237856475335.492</v>
      </c>
      <c r="E247" s="8" t="n">
        <f aca="false">C247*Assumptions!$B$20</f>
        <v>12845056000</v>
      </c>
    </row>
    <row r="248" customFormat="false" ht="15" hidden="false" customHeight="true" outlineLevel="0" collapsed="false">
      <c r="A248" s="3" t="n">
        <v>246</v>
      </c>
      <c r="B248" s="7" t="n">
        <f aca="false">Assumptions!$B$14*Assumptions!$B$15^A248</f>
        <v>2130797591.54711</v>
      </c>
      <c r="C248" s="7" t="n">
        <f aca="false">Assumptions!$B$16*A248*Assumptions!$B$18^INT(A248/Assumptions!$B$17)</f>
        <v>322437120</v>
      </c>
      <c r="D248" s="8" t="n">
        <f aca="false">B248*Assumptions!$B$21</f>
        <v>255695710985.654</v>
      </c>
      <c r="E248" s="8" t="n">
        <f aca="false">C248*Assumptions!$B$20</f>
        <v>12897484800</v>
      </c>
    </row>
    <row r="249" customFormat="false" ht="15" hidden="false" customHeight="true" outlineLevel="0" collapsed="false">
      <c r="A249" s="3" t="n">
        <v>247</v>
      </c>
      <c r="B249" s="7" t="n">
        <f aca="false">Assumptions!$B$14*Assumptions!$B$15^A249</f>
        <v>2290607410.91315</v>
      </c>
      <c r="C249" s="7" t="n">
        <f aca="false">Assumptions!$B$16*A249*Assumptions!$B$18^INT(A249/Assumptions!$B$17)</f>
        <v>323747840</v>
      </c>
      <c r="D249" s="8" t="n">
        <f aca="false">B249*Assumptions!$B$21</f>
        <v>274872889309.578</v>
      </c>
      <c r="E249" s="8" t="n">
        <f aca="false">C249*Assumptions!$B$20</f>
        <v>12949913600</v>
      </c>
    </row>
    <row r="250" customFormat="false" ht="15" hidden="false" customHeight="true" outlineLevel="0" collapsed="false">
      <c r="A250" s="3" t="n">
        <v>248</v>
      </c>
      <c r="B250" s="7" t="n">
        <f aca="false">Assumptions!$B$14*Assumptions!$B$15^A250</f>
        <v>2462402966.73163</v>
      </c>
      <c r="C250" s="7" t="n">
        <f aca="false">Assumptions!$B$16*A250*Assumptions!$B$18^INT(A250/Assumptions!$B$17)</f>
        <v>325058560</v>
      </c>
      <c r="D250" s="8" t="n">
        <f aca="false">B250*Assumptions!$B$21</f>
        <v>295488356007.796</v>
      </c>
      <c r="E250" s="8" t="n">
        <f aca="false">C250*Assumptions!$B$20</f>
        <v>13002342400</v>
      </c>
    </row>
    <row r="251" customFormat="false" ht="15" hidden="false" customHeight="true" outlineLevel="0" collapsed="false">
      <c r="A251" s="3" t="n">
        <v>249</v>
      </c>
      <c r="B251" s="7" t="n">
        <f aca="false">Assumptions!$B$14*Assumptions!$B$15^A251</f>
        <v>2647083189.2365</v>
      </c>
      <c r="C251" s="7" t="n">
        <f aca="false">Assumptions!$B$16*A251*Assumptions!$B$18^INT(A251/Assumptions!$B$17)</f>
        <v>326369280</v>
      </c>
      <c r="D251" s="8" t="n">
        <f aca="false">B251*Assumptions!$B$21</f>
        <v>317649982708.381</v>
      </c>
      <c r="E251" s="8" t="n">
        <f aca="false">C251*Assumptions!$B$20</f>
        <v>13054771200</v>
      </c>
    </row>
    <row r="252" customFormat="false" ht="15" hidden="false" customHeight="true" outlineLevel="0" collapsed="false">
      <c r="A252" s="3" t="n">
        <v>250</v>
      </c>
      <c r="B252" s="7" t="n">
        <f aca="false">Assumptions!$B$14*Assumptions!$B$15^A252</f>
        <v>2845614428.42924</v>
      </c>
      <c r="C252" s="7" t="n">
        <f aca="false">Assumptions!$B$16*A252*Assumptions!$B$18^INT(A252/Assumptions!$B$17)</f>
        <v>1310720000</v>
      </c>
      <c r="D252" s="8" t="n">
        <f aca="false">B252*Assumptions!$B$21</f>
        <v>341473731411.509</v>
      </c>
      <c r="E252" s="8" t="n">
        <f aca="false">C252*Assumptions!$B$20</f>
        <v>52428800000</v>
      </c>
    </row>
    <row r="253" customFormat="false" ht="15" hidden="false" customHeight="true" outlineLevel="0" collapsed="false">
      <c r="A253" s="3" t="n">
        <v>251</v>
      </c>
      <c r="B253" s="7" t="n">
        <f aca="false">Assumptions!$B$14*Assumptions!$B$15^A253</f>
        <v>3059035510.56143</v>
      </c>
      <c r="C253" s="7" t="n">
        <f aca="false">Assumptions!$B$16*A253*Assumptions!$B$18^INT(A253/Assumptions!$B$17)</f>
        <v>1315962880</v>
      </c>
      <c r="D253" s="8" t="n">
        <f aca="false">B253*Assumptions!$B$21</f>
        <v>367084261267.372</v>
      </c>
      <c r="E253" s="8" t="n">
        <f aca="false">C253*Assumptions!$B$20</f>
        <v>52638515200</v>
      </c>
    </row>
    <row r="254" customFormat="false" ht="15" hidden="false" customHeight="true" outlineLevel="0" collapsed="false">
      <c r="A254" s="3" t="n">
        <v>252</v>
      </c>
      <c r="B254" s="7" t="n">
        <f aca="false">Assumptions!$B$14*Assumptions!$B$15^A254</f>
        <v>3288463173.85354</v>
      </c>
      <c r="C254" s="7" t="n">
        <f aca="false">Assumptions!$B$16*A254*Assumptions!$B$18^INT(A254/Assumptions!$B$17)</f>
        <v>1321205760</v>
      </c>
      <c r="D254" s="8" t="n">
        <f aca="false">B254*Assumptions!$B$21</f>
        <v>394615580862.425</v>
      </c>
      <c r="E254" s="8" t="n">
        <f aca="false">C254*Assumptions!$B$20</f>
        <v>52848230400</v>
      </c>
    </row>
    <row r="255" customFormat="false" ht="15" hidden="false" customHeight="true" outlineLevel="0" collapsed="false">
      <c r="A255" s="3" t="n">
        <v>253</v>
      </c>
      <c r="B255" s="7" t="n">
        <f aca="false">Assumptions!$B$14*Assumptions!$B$15^A255</f>
        <v>3535097911.89256</v>
      </c>
      <c r="C255" s="7" t="n">
        <f aca="false">Assumptions!$B$16*A255*Assumptions!$B$18^INT(A255/Assumptions!$B$17)</f>
        <v>1326448640</v>
      </c>
      <c r="D255" s="8" t="n">
        <f aca="false">B255*Assumptions!$B$21</f>
        <v>424211749427.107</v>
      </c>
      <c r="E255" s="8" t="n">
        <f aca="false">C255*Assumptions!$B$20</f>
        <v>53057945600</v>
      </c>
    </row>
    <row r="256" customFormat="false" ht="15" hidden="false" customHeight="true" outlineLevel="0" collapsed="false">
      <c r="A256" s="3" t="n">
        <v>254</v>
      </c>
      <c r="B256" s="7" t="n">
        <f aca="false">Assumptions!$B$14*Assumptions!$B$15^A256</f>
        <v>3800230255.2845</v>
      </c>
      <c r="C256" s="7" t="n">
        <f aca="false">Assumptions!$B$16*A256*Assumptions!$B$18^INT(A256/Assumptions!$B$17)</f>
        <v>1331691520</v>
      </c>
      <c r="D256" s="8" t="n">
        <f aca="false">B256*Assumptions!$B$21</f>
        <v>456027630634.14</v>
      </c>
      <c r="E256" s="8" t="n">
        <f aca="false">C256*Assumptions!$B$20</f>
        <v>53267660800</v>
      </c>
    </row>
    <row r="257" customFormat="false" ht="15" hidden="false" customHeight="true" outlineLevel="0" collapsed="false">
      <c r="A257" s="3" t="n">
        <v>255</v>
      </c>
      <c r="B257" s="7" t="n">
        <f aca="false">Assumptions!$B$14*Assumptions!$B$15^A257</f>
        <v>4085247524.43084</v>
      </c>
      <c r="C257" s="7" t="n">
        <f aca="false">Assumptions!$B$16*A257*Assumptions!$B$18^INT(A257/Assumptions!$B$17)</f>
        <v>1336934400</v>
      </c>
      <c r="D257" s="8" t="n">
        <f aca="false">B257*Assumptions!$B$21</f>
        <v>490229702931.7</v>
      </c>
      <c r="E257" s="8" t="n">
        <f aca="false">C257*Assumptions!$B$20</f>
        <v>53477376000</v>
      </c>
    </row>
    <row r="258" customFormat="false" ht="15" hidden="false" customHeight="true" outlineLevel="0" collapsed="false">
      <c r="A258" s="3" t="n">
        <v>256</v>
      </c>
      <c r="B258" s="7" t="n">
        <f aca="false">Assumptions!$B$14*Assumptions!$B$15^A258</f>
        <v>4391641088.76315</v>
      </c>
      <c r="C258" s="7" t="n">
        <f aca="false">Assumptions!$B$16*A258*Assumptions!$B$18^INT(A258/Assumptions!$B$17)</f>
        <v>1342177280</v>
      </c>
      <c r="D258" s="8" t="n">
        <f aca="false">B258*Assumptions!$B$21</f>
        <v>526996930651.578</v>
      </c>
      <c r="E258" s="8" t="n">
        <f aca="false">C258*Assumptions!$B$20</f>
        <v>53687091200</v>
      </c>
    </row>
    <row r="259" customFormat="false" ht="15" hidden="false" customHeight="true" outlineLevel="0" collapsed="false">
      <c r="A259" s="3" t="n">
        <v>257</v>
      </c>
      <c r="B259" s="7" t="n">
        <f aca="false">Assumptions!$B$14*Assumptions!$B$15^A259</f>
        <v>4721014170.42039</v>
      </c>
      <c r="C259" s="7" t="n">
        <f aca="false">Assumptions!$B$16*A259*Assumptions!$B$18^INT(A259/Assumptions!$B$17)</f>
        <v>1347420160</v>
      </c>
      <c r="D259" s="8" t="n">
        <f aca="false">B259*Assumptions!$B$21</f>
        <v>566521700450.446</v>
      </c>
      <c r="E259" s="8" t="n">
        <f aca="false">C259*Assumptions!$B$20</f>
        <v>53896806400</v>
      </c>
    </row>
    <row r="260" customFormat="false" ht="15" hidden="false" customHeight="true" outlineLevel="0" collapsed="false">
      <c r="A260" s="3" t="n">
        <v>258</v>
      </c>
      <c r="B260" s="7" t="n">
        <f aca="false">Assumptions!$B$14*Assumptions!$B$15^A260</f>
        <v>5075090233.20191</v>
      </c>
      <c r="C260" s="7" t="n">
        <f aca="false">Assumptions!$B$16*A260*Assumptions!$B$18^INT(A260/Assumptions!$B$17)</f>
        <v>1352663040</v>
      </c>
      <c r="D260" s="8" t="n">
        <f aca="false">B260*Assumptions!$B$21</f>
        <v>609010827984.23</v>
      </c>
      <c r="E260" s="8" t="n">
        <f aca="false">C260*Assumptions!$B$20</f>
        <v>54106521600</v>
      </c>
    </row>
    <row r="261" customFormat="false" ht="15" hidden="false" customHeight="true" outlineLevel="0" collapsed="false">
      <c r="A261" s="3" t="n">
        <v>259</v>
      </c>
      <c r="B261" s="7" t="n">
        <f aca="false">Assumptions!$B$14*Assumptions!$B$15^A261</f>
        <v>5455722000.69206</v>
      </c>
      <c r="C261" s="7" t="n">
        <f aca="false">Assumptions!$B$16*A261*Assumptions!$B$18^INT(A261/Assumptions!$B$17)</f>
        <v>1357905920</v>
      </c>
      <c r="D261" s="8" t="n">
        <f aca="false">B261*Assumptions!$B$21</f>
        <v>654686640083.047</v>
      </c>
      <c r="E261" s="8" t="n">
        <f aca="false">C261*Assumptions!$B$20</f>
        <v>54316236800</v>
      </c>
    </row>
    <row r="262" customFormat="false" ht="15" hidden="false" customHeight="true" outlineLevel="0" collapsed="false">
      <c r="A262" s="3" t="n">
        <v>260</v>
      </c>
      <c r="B262" s="7" t="n">
        <f aca="false">Assumptions!$B$14*Assumptions!$B$15^A262</f>
        <v>5864901150.74396</v>
      </c>
      <c r="C262" s="7" t="n">
        <f aca="false">Assumptions!$B$16*A262*Assumptions!$B$18^INT(A262/Assumptions!$B$17)</f>
        <v>1363148800</v>
      </c>
      <c r="D262" s="8" t="n">
        <f aca="false">B262*Assumptions!$B$21</f>
        <v>703788138089.275</v>
      </c>
      <c r="E262" s="8" t="n">
        <f aca="false">C262*Assumptions!$B$20</f>
        <v>54525952000</v>
      </c>
    </row>
    <row r="263" customFormat="false" ht="15" hidden="false" customHeight="true" outlineLevel="0" collapsed="false">
      <c r="A263" s="3" t="n">
        <v>261</v>
      </c>
      <c r="B263" s="7" t="n">
        <f aca="false">Assumptions!$B$14*Assumptions!$B$15^A263</f>
        <v>6304768737.04976</v>
      </c>
      <c r="C263" s="7" t="n">
        <f aca="false">Assumptions!$B$16*A263*Assumptions!$B$18^INT(A263/Assumptions!$B$17)</f>
        <v>1368391680</v>
      </c>
      <c r="D263" s="8" t="n">
        <f aca="false">B263*Assumptions!$B$21</f>
        <v>756572248445.971</v>
      </c>
      <c r="E263" s="8" t="n">
        <f aca="false">C263*Assumptions!$B$20</f>
        <v>54735667200</v>
      </c>
    </row>
    <row r="264" customFormat="false" ht="15" hidden="false" customHeight="true" outlineLevel="0" collapsed="false">
      <c r="A264" s="3" t="n">
        <v>262</v>
      </c>
      <c r="B264" s="7" t="n">
        <f aca="false">Assumptions!$B$14*Assumptions!$B$15^A264</f>
        <v>6777626392.32849</v>
      </c>
      <c r="C264" s="7" t="n">
        <f aca="false">Assumptions!$B$16*A264*Assumptions!$B$18^INT(A264/Assumptions!$B$17)</f>
        <v>1373634560</v>
      </c>
      <c r="D264" s="8" t="n">
        <f aca="false">B264*Assumptions!$B$21</f>
        <v>813315167079.419</v>
      </c>
      <c r="E264" s="8" t="n">
        <f aca="false">C264*Assumptions!$B$20</f>
        <v>54945382400</v>
      </c>
    </row>
    <row r="265" customFormat="false" ht="15" hidden="false" customHeight="true" outlineLevel="0" collapsed="false">
      <c r="A265" s="3" t="n">
        <v>263</v>
      </c>
      <c r="B265" s="7" t="n">
        <f aca="false">Assumptions!$B$14*Assumptions!$B$15^A265</f>
        <v>7285948371.75313</v>
      </c>
      <c r="C265" s="7" t="n">
        <f aca="false">Assumptions!$B$16*A265*Assumptions!$B$18^INT(A265/Assumptions!$B$17)</f>
        <v>1378877440</v>
      </c>
      <c r="D265" s="8" t="n">
        <f aca="false">B265*Assumptions!$B$21</f>
        <v>874313804610.375</v>
      </c>
      <c r="E265" s="8" t="n">
        <f aca="false">C265*Assumptions!$B$20</f>
        <v>55155097600</v>
      </c>
    </row>
    <row r="266" customFormat="false" ht="15" hidden="false" customHeight="true" outlineLevel="0" collapsed="false">
      <c r="A266" s="3" t="n">
        <v>264</v>
      </c>
      <c r="B266" s="7" t="n">
        <f aca="false">Assumptions!$B$14*Assumptions!$B$15^A266</f>
        <v>7832394499.63461</v>
      </c>
      <c r="C266" s="7" t="n">
        <f aca="false">Assumptions!$B$16*A266*Assumptions!$B$18^INT(A266/Assumptions!$B$17)</f>
        <v>1384120320</v>
      </c>
      <c r="D266" s="8" t="n">
        <f aca="false">B266*Assumptions!$B$21</f>
        <v>939887339956.153</v>
      </c>
      <c r="E266" s="8" t="n">
        <f aca="false">C266*Assumptions!$B$20</f>
        <v>55364812800</v>
      </c>
    </row>
    <row r="267" customFormat="false" ht="15" hidden="false" customHeight="true" outlineLevel="0" collapsed="false">
      <c r="A267" s="3" t="n">
        <v>265</v>
      </c>
      <c r="B267" s="7" t="n">
        <f aca="false">Assumptions!$B$14*Assumptions!$B$15^A267</f>
        <v>8419824087.10721</v>
      </c>
      <c r="C267" s="7" t="n">
        <f aca="false">Assumptions!$B$16*A267*Assumptions!$B$18^INT(A267/Assumptions!$B$17)</f>
        <v>1389363200</v>
      </c>
      <c r="D267" s="8" t="n">
        <f aca="false">B267*Assumptions!$B$21</f>
        <v>1010378890452.86</v>
      </c>
      <c r="E267" s="8" t="n">
        <f aca="false">C267*Assumptions!$B$20</f>
        <v>55574528000</v>
      </c>
    </row>
    <row r="268" customFormat="false" ht="15" hidden="false" customHeight="true" outlineLevel="0" collapsed="false">
      <c r="A268" s="3" t="n">
        <v>266</v>
      </c>
      <c r="B268" s="7" t="n">
        <f aca="false">Assumptions!$B$14*Assumptions!$B$15^A268</f>
        <v>9051310893.64025</v>
      </c>
      <c r="C268" s="7" t="n">
        <f aca="false">Assumptions!$B$16*A268*Assumptions!$B$18^INT(A268/Assumptions!$B$17)</f>
        <v>1394606080</v>
      </c>
      <c r="D268" s="8" t="n">
        <f aca="false">B268*Assumptions!$B$21</f>
        <v>1086157307236.83</v>
      </c>
      <c r="E268" s="8" t="n">
        <f aca="false">C268*Assumptions!$B$20</f>
        <v>55784243200</v>
      </c>
    </row>
    <row r="269" customFormat="false" ht="15" hidden="false" customHeight="true" outlineLevel="0" collapsed="false">
      <c r="A269" s="3" t="n">
        <v>267</v>
      </c>
      <c r="B269" s="7" t="n">
        <f aca="false">Assumptions!$B$14*Assumptions!$B$15^A269</f>
        <v>9730159210.66326</v>
      </c>
      <c r="C269" s="7" t="n">
        <f aca="false">Assumptions!$B$16*A269*Assumptions!$B$18^INT(A269/Assumptions!$B$17)</f>
        <v>1399848960</v>
      </c>
      <c r="D269" s="8" t="n">
        <f aca="false">B269*Assumptions!$B$21</f>
        <v>1167619105279.59</v>
      </c>
      <c r="E269" s="8" t="n">
        <f aca="false">C269*Assumptions!$B$20</f>
        <v>55993958400</v>
      </c>
    </row>
    <row r="270" customFormat="false" ht="15" hidden="false" customHeight="true" outlineLevel="0" collapsed="false">
      <c r="A270" s="3" t="n">
        <v>268</v>
      </c>
      <c r="B270" s="7" t="n">
        <f aca="false">Assumptions!$B$14*Assumptions!$B$15^A270</f>
        <v>10459921151.463</v>
      </c>
      <c r="C270" s="7" t="n">
        <f aca="false">Assumptions!$B$16*A270*Assumptions!$B$18^INT(A270/Assumptions!$B$17)</f>
        <v>1405091840</v>
      </c>
      <c r="D270" s="8" t="n">
        <f aca="false">B270*Assumptions!$B$21</f>
        <v>1255190538175.56</v>
      </c>
      <c r="E270" s="8" t="n">
        <f aca="false">C270*Assumptions!$B$20</f>
        <v>56203673600</v>
      </c>
    </row>
    <row r="271" customFormat="false" ht="15" hidden="false" customHeight="true" outlineLevel="0" collapsed="false">
      <c r="A271" s="3" t="n">
        <v>269</v>
      </c>
      <c r="B271" s="7" t="n">
        <f aca="false">Assumptions!$B$14*Assumptions!$B$15^A271</f>
        <v>11244415237.8227</v>
      </c>
      <c r="C271" s="7" t="n">
        <f aca="false">Assumptions!$B$16*A271*Assumptions!$B$18^INT(A271/Assumptions!$B$17)</f>
        <v>1410334720</v>
      </c>
      <c r="D271" s="8" t="n">
        <f aca="false">B271*Assumptions!$B$21</f>
        <v>1349329828538.73</v>
      </c>
      <c r="E271" s="8" t="n">
        <f aca="false">C271*Assumptions!$B$20</f>
        <v>56413388800</v>
      </c>
    </row>
    <row r="272" customFormat="false" ht="15" hidden="false" customHeight="true" outlineLevel="0" collapsed="false">
      <c r="A272" s="3" t="n">
        <v>270</v>
      </c>
      <c r="B272" s="7" t="n">
        <f aca="false">Assumptions!$B$14*Assumptions!$B$15^A272</f>
        <v>12087746380.6594</v>
      </c>
      <c r="C272" s="7" t="n">
        <f aca="false">Assumptions!$B$16*A272*Assumptions!$B$18^INT(A272/Assumptions!$B$17)</f>
        <v>1415577600</v>
      </c>
      <c r="D272" s="8" t="n">
        <f aca="false">B272*Assumptions!$B$21</f>
        <v>1450529565679.13</v>
      </c>
      <c r="E272" s="8" t="n">
        <f aca="false">C272*Assumptions!$B$20</f>
        <v>56623104000</v>
      </c>
    </row>
    <row r="273" customFormat="false" ht="15" hidden="false" customHeight="true" outlineLevel="0" collapsed="false">
      <c r="A273" s="3" t="n">
        <v>271</v>
      </c>
      <c r="B273" s="7" t="n">
        <f aca="false">Assumptions!$B$14*Assumptions!$B$15^A273</f>
        <v>12994327359.2089</v>
      </c>
      <c r="C273" s="7" t="n">
        <f aca="false">Assumptions!$B$16*A273*Assumptions!$B$18^INT(A273/Assumptions!$B$17)</f>
        <v>1420820480</v>
      </c>
      <c r="D273" s="8" t="n">
        <f aca="false">B273*Assumptions!$B$21</f>
        <v>1559319283105.07</v>
      </c>
      <c r="E273" s="8" t="n">
        <f aca="false">C273*Assumptions!$B$20</f>
        <v>56832819200</v>
      </c>
    </row>
    <row r="274" customFormat="false" ht="15" hidden="false" customHeight="true" outlineLevel="0" collapsed="false">
      <c r="A274" s="3" t="n">
        <v>272</v>
      </c>
      <c r="B274" s="7" t="n">
        <f aca="false">Assumptions!$B$14*Assumptions!$B$15^A274</f>
        <v>13968901911.1496</v>
      </c>
      <c r="C274" s="7" t="n">
        <f aca="false">Assumptions!$B$16*A274*Assumptions!$B$18^INT(A274/Assumptions!$B$17)</f>
        <v>1426063360</v>
      </c>
      <c r="D274" s="8" t="n">
        <f aca="false">B274*Assumptions!$B$21</f>
        <v>1676268229337.95</v>
      </c>
      <c r="E274" s="8" t="n">
        <f aca="false">C274*Assumptions!$B$20</f>
        <v>57042534400</v>
      </c>
    </row>
    <row r="275" customFormat="false" ht="15" hidden="false" customHeight="true" outlineLevel="0" collapsed="false">
      <c r="A275" s="3" t="n">
        <v>273</v>
      </c>
      <c r="B275" s="7" t="n">
        <f aca="false">Assumptions!$B$14*Assumptions!$B$15^A275</f>
        <v>15016569554.4858</v>
      </c>
      <c r="C275" s="7" t="n">
        <f aca="false">Assumptions!$B$16*A275*Assumptions!$B$18^INT(A275/Assumptions!$B$17)</f>
        <v>1431306240</v>
      </c>
      <c r="D275" s="8" t="n">
        <f aca="false">B275*Assumptions!$B$21</f>
        <v>1801988346538.29</v>
      </c>
      <c r="E275" s="8" t="n">
        <f aca="false">C275*Assumptions!$B$20</f>
        <v>57252249600</v>
      </c>
    </row>
    <row r="276" customFormat="false" ht="15" hidden="false" customHeight="true" outlineLevel="0" collapsed="false">
      <c r="A276" s="3" t="n">
        <v>274</v>
      </c>
      <c r="B276" s="7" t="n">
        <f aca="false">Assumptions!$B$14*Assumptions!$B$15^A276</f>
        <v>16142812271.0722</v>
      </c>
      <c r="C276" s="7" t="n">
        <f aca="false">Assumptions!$B$16*A276*Assumptions!$B$18^INT(A276/Assumptions!$B$17)</f>
        <v>1436549120</v>
      </c>
      <c r="D276" s="8" t="n">
        <f aca="false">B276*Assumptions!$B$21</f>
        <v>1937137472528.67</v>
      </c>
      <c r="E276" s="8" t="n">
        <f aca="false">C276*Assumptions!$B$20</f>
        <v>57461964800</v>
      </c>
    </row>
    <row r="277" customFormat="false" ht="15" hidden="false" customHeight="true" outlineLevel="0" collapsed="false">
      <c r="A277" s="3" t="n">
        <v>275</v>
      </c>
      <c r="B277" s="7" t="n">
        <f aca="false">Assumptions!$B$14*Assumptions!$B$15^A277</f>
        <v>17353523191.4026</v>
      </c>
      <c r="C277" s="7" t="n">
        <f aca="false">Assumptions!$B$16*A277*Assumptions!$B$18^INT(A277/Assumptions!$B$17)</f>
        <v>5767168000</v>
      </c>
      <c r="D277" s="8" t="n">
        <f aca="false">B277*Assumptions!$B$21</f>
        <v>2082422782968.32</v>
      </c>
      <c r="E277" s="8" t="n">
        <f aca="false">C277*Assumptions!$B$20</f>
        <v>230686720000</v>
      </c>
    </row>
    <row r="278" customFormat="false" ht="15" hidden="false" customHeight="true" outlineLevel="0" collapsed="false">
      <c r="A278" s="3" t="n">
        <v>276</v>
      </c>
      <c r="B278" s="7" t="n">
        <f aca="false">Assumptions!$B$14*Assumptions!$B$15^A278</f>
        <v>18655037430.7578</v>
      </c>
      <c r="C278" s="7" t="n">
        <f aca="false">Assumptions!$B$16*A278*Assumptions!$B$18^INT(A278/Assumptions!$B$17)</f>
        <v>5788139520</v>
      </c>
      <c r="D278" s="8" t="n">
        <f aca="false">B278*Assumptions!$B$21</f>
        <v>2238604491690.94</v>
      </c>
      <c r="E278" s="8" t="n">
        <f aca="false">C278*Assumptions!$B$20</f>
        <v>231525580800</v>
      </c>
    </row>
    <row r="279" customFormat="false" ht="15" hidden="false" customHeight="true" outlineLevel="0" collapsed="false">
      <c r="A279" s="3" t="n">
        <v>277</v>
      </c>
      <c r="B279" s="7" t="n">
        <f aca="false">Assumptions!$B$14*Assumptions!$B$15^A279</f>
        <v>20054165238.0647</v>
      </c>
      <c r="C279" s="7" t="n">
        <f aca="false">Assumptions!$B$16*A279*Assumptions!$B$18^INT(A279/Assumptions!$B$17)</f>
        <v>5809111040</v>
      </c>
      <c r="D279" s="8" t="n">
        <f aca="false">B279*Assumptions!$B$21</f>
        <v>2406499828567.76</v>
      </c>
      <c r="E279" s="8" t="n">
        <f aca="false">C279*Assumptions!$B$20</f>
        <v>232364441600</v>
      </c>
    </row>
    <row r="280" customFormat="false" ht="15" hidden="false" customHeight="true" outlineLevel="0" collapsed="false">
      <c r="A280" s="3" t="n">
        <v>278</v>
      </c>
      <c r="B280" s="7" t="n">
        <f aca="false">Assumptions!$B$14*Assumptions!$B$15^A280</f>
        <v>21558227630.9195</v>
      </c>
      <c r="C280" s="7" t="n">
        <f aca="false">Assumptions!$B$16*A280*Assumptions!$B$18^INT(A280/Assumptions!$B$17)</f>
        <v>5830082560</v>
      </c>
      <c r="D280" s="8" t="n">
        <f aca="false">B280*Assumptions!$B$21</f>
        <v>2586987315710.34</v>
      </c>
      <c r="E280" s="8" t="n">
        <f aca="false">C280*Assumptions!$B$20</f>
        <v>233203302400</v>
      </c>
    </row>
    <row r="281" customFormat="false" ht="15" hidden="false" customHeight="true" outlineLevel="0" collapsed="false">
      <c r="A281" s="3" t="n">
        <v>279</v>
      </c>
      <c r="B281" s="7" t="n">
        <f aca="false">Assumptions!$B$14*Assumptions!$B$15^A281</f>
        <v>23175094703.2385</v>
      </c>
      <c r="C281" s="7" t="n">
        <f aca="false">Assumptions!$B$16*A281*Assumptions!$B$18^INT(A281/Assumptions!$B$17)</f>
        <v>5851054080</v>
      </c>
      <c r="D281" s="8" t="n">
        <f aca="false">B281*Assumptions!$B$21</f>
        <v>2781011364388.62</v>
      </c>
      <c r="E281" s="8" t="n">
        <f aca="false">C281*Assumptions!$B$20</f>
        <v>234042163200</v>
      </c>
    </row>
    <row r="282" customFormat="false" ht="15" hidden="false" customHeight="true" outlineLevel="0" collapsed="false">
      <c r="A282" s="3" t="n">
        <v>280</v>
      </c>
      <c r="B282" s="7" t="n">
        <f aca="false">Assumptions!$B$14*Assumptions!$B$15^A282</f>
        <v>24913226805.9814</v>
      </c>
      <c r="C282" s="7" t="n">
        <f aca="false">Assumptions!$B$16*A282*Assumptions!$B$18^INT(A282/Assumptions!$B$17)</f>
        <v>5872025600</v>
      </c>
      <c r="D282" s="8" t="n">
        <f aca="false">B282*Assumptions!$B$21</f>
        <v>2989587216717.76</v>
      </c>
      <c r="E282" s="8" t="n">
        <f aca="false">C282*Assumptions!$B$20</f>
        <v>234881024000</v>
      </c>
    </row>
    <row r="283" customFormat="false" ht="15" hidden="false" customHeight="true" outlineLevel="0" collapsed="false">
      <c r="A283" s="3" t="n">
        <v>281</v>
      </c>
      <c r="B283" s="7" t="n">
        <f aca="false">Assumptions!$B$14*Assumptions!$B$15^A283</f>
        <v>26781718816.43</v>
      </c>
      <c r="C283" s="7" t="n">
        <f aca="false">Assumptions!$B$16*A283*Assumptions!$B$18^INT(A283/Assumptions!$B$17)</f>
        <v>5892997120</v>
      </c>
      <c r="D283" s="8" t="n">
        <f aca="false">B283*Assumptions!$B$21</f>
        <v>3213806257971.59</v>
      </c>
      <c r="E283" s="8" t="n">
        <f aca="false">C283*Assumptions!$B$20</f>
        <v>235719884800</v>
      </c>
    </row>
    <row r="284" customFormat="false" ht="15" hidden="false" customHeight="true" outlineLevel="0" collapsed="false">
      <c r="A284" s="3" t="n">
        <v>282</v>
      </c>
      <c r="B284" s="7" t="n">
        <f aca="false">Assumptions!$B$14*Assumptions!$B$15^A284</f>
        <v>28790347727.6622</v>
      </c>
      <c r="C284" s="7" t="n">
        <f aca="false">Assumptions!$B$16*A284*Assumptions!$B$18^INT(A284/Assumptions!$B$17)</f>
        <v>5913968640</v>
      </c>
      <c r="D284" s="8" t="n">
        <f aca="false">B284*Assumptions!$B$21</f>
        <v>3454841727319.46</v>
      </c>
      <c r="E284" s="8" t="n">
        <f aca="false">C284*Assumptions!$B$20</f>
        <v>236558745600</v>
      </c>
    </row>
    <row r="285" customFormat="false" ht="15" hidden="false" customHeight="true" outlineLevel="0" collapsed="false">
      <c r="A285" s="3" t="n">
        <v>283</v>
      </c>
      <c r="B285" s="7" t="n">
        <f aca="false">Assumptions!$B$14*Assumptions!$B$15^A285</f>
        <v>30949623807.2369</v>
      </c>
      <c r="C285" s="7" t="n">
        <f aca="false">Assumptions!$B$16*A285*Assumptions!$B$18^INT(A285/Assumptions!$B$17)</f>
        <v>5934940160</v>
      </c>
      <c r="D285" s="8" t="n">
        <f aca="false">B285*Assumptions!$B$21</f>
        <v>3713954856868.42</v>
      </c>
      <c r="E285" s="8" t="n">
        <f aca="false">C285*Assumptions!$B$20</f>
        <v>237397606400</v>
      </c>
    </row>
    <row r="286" customFormat="false" ht="15" hidden="false" customHeight="true" outlineLevel="0" collapsed="false">
      <c r="A286" s="3" t="n">
        <v>284</v>
      </c>
      <c r="B286" s="7" t="n">
        <f aca="false">Assumptions!$B$14*Assumptions!$B$15^A286</f>
        <v>33270845592.7796</v>
      </c>
      <c r="C286" s="7" t="n">
        <f aca="false">Assumptions!$B$16*A286*Assumptions!$B$18^INT(A286/Assumptions!$B$17)</f>
        <v>5955911680</v>
      </c>
      <c r="D286" s="8" t="n">
        <f aca="false">B286*Assumptions!$B$21</f>
        <v>3992501471133.56</v>
      </c>
      <c r="E286" s="8" t="n">
        <f aca="false">C286*Assumptions!$B$20</f>
        <v>238236467200</v>
      </c>
    </row>
    <row r="287" customFormat="false" ht="15" hidden="false" customHeight="true" outlineLevel="0" collapsed="false">
      <c r="A287" s="3" t="n">
        <v>285</v>
      </c>
      <c r="B287" s="7" t="n">
        <f aca="false">Assumptions!$B$14*Assumptions!$B$15^A287</f>
        <v>35766159012.2381</v>
      </c>
      <c r="C287" s="7" t="n">
        <f aca="false">Assumptions!$B$16*A287*Assumptions!$B$18^INT(A287/Assumptions!$B$17)</f>
        <v>5976883200</v>
      </c>
      <c r="D287" s="8" t="n">
        <f aca="false">B287*Assumptions!$B$21</f>
        <v>4291939081468.57</v>
      </c>
      <c r="E287" s="8" t="n">
        <f aca="false">C287*Assumptions!$B$20</f>
        <v>239075328000</v>
      </c>
    </row>
    <row r="288" customFormat="false" ht="15" hidden="false" customHeight="true" outlineLevel="0" collapsed="false">
      <c r="A288" s="3" t="n">
        <v>286</v>
      </c>
      <c r="B288" s="7" t="n">
        <f aca="false">Assumptions!$B$14*Assumptions!$B$15^A288</f>
        <v>38448620938.156</v>
      </c>
      <c r="C288" s="7" t="n">
        <f aca="false">Assumptions!$B$16*A288*Assumptions!$B$18^INT(A288/Assumptions!$B$17)</f>
        <v>5997854720</v>
      </c>
      <c r="D288" s="8" t="n">
        <f aca="false">B288*Assumptions!$B$21</f>
        <v>4613834512578.71</v>
      </c>
      <c r="E288" s="8" t="n">
        <f aca="false">C288*Assumptions!$B$20</f>
        <v>239914188800</v>
      </c>
    </row>
    <row r="289" customFormat="false" ht="15" hidden="false" customHeight="true" outlineLevel="0" collapsed="false">
      <c r="A289" s="3" t="n">
        <v>287</v>
      </c>
      <c r="B289" s="7" t="n">
        <f aca="false">Assumptions!$B$14*Assumptions!$B$15^A289</f>
        <v>41332267508.5177</v>
      </c>
      <c r="C289" s="7" t="n">
        <f aca="false">Assumptions!$B$16*A289*Assumptions!$B$18^INT(A289/Assumptions!$B$17)</f>
        <v>6018826240</v>
      </c>
      <c r="D289" s="8" t="n">
        <f aca="false">B289*Assumptions!$B$21</f>
        <v>4959872101022.12</v>
      </c>
      <c r="E289" s="8" t="n">
        <f aca="false">C289*Assumptions!$B$20</f>
        <v>240753049600</v>
      </c>
    </row>
    <row r="290" customFormat="false" ht="15" hidden="false" customHeight="true" outlineLevel="0" collapsed="false">
      <c r="A290" s="3" t="n">
        <v>288</v>
      </c>
      <c r="B290" s="7" t="n">
        <f aca="false">Assumptions!$B$14*Assumptions!$B$15^A290</f>
        <v>44432187571.6565</v>
      </c>
      <c r="C290" s="7" t="n">
        <f aca="false">Assumptions!$B$16*A290*Assumptions!$B$18^INT(A290/Assumptions!$B$17)</f>
        <v>6039797760</v>
      </c>
      <c r="D290" s="8" t="n">
        <f aca="false">B290*Assumptions!$B$21</f>
        <v>5331862508598.78</v>
      </c>
      <c r="E290" s="8" t="n">
        <f aca="false">C290*Assumptions!$B$20</f>
        <v>241591910400</v>
      </c>
    </row>
    <row r="291" customFormat="false" ht="15" hidden="false" customHeight="true" outlineLevel="0" collapsed="false">
      <c r="A291" s="3" t="n">
        <v>289</v>
      </c>
      <c r="B291" s="7" t="n">
        <f aca="false">Assumptions!$B$14*Assumptions!$B$15^A291</f>
        <v>47764601639.5307</v>
      </c>
      <c r="C291" s="7" t="n">
        <f aca="false">Assumptions!$B$16*A291*Assumptions!$B$18^INT(A291/Assumptions!$B$17)</f>
        <v>6060769280</v>
      </c>
      <c r="D291" s="8" t="n">
        <f aca="false">B291*Assumptions!$B$21</f>
        <v>5731752196743.69</v>
      </c>
      <c r="E291" s="8" t="n">
        <f aca="false">C291*Assumptions!$B$20</f>
        <v>242430771200</v>
      </c>
    </row>
    <row r="292" customFormat="false" ht="15" hidden="false" customHeight="true" outlineLevel="0" collapsed="false">
      <c r="A292" s="3" t="n">
        <v>290</v>
      </c>
      <c r="B292" s="7" t="n">
        <f aca="false">Assumptions!$B$14*Assumptions!$B$15^A292</f>
        <v>51346946762.4955</v>
      </c>
      <c r="C292" s="7" t="n">
        <f aca="false">Assumptions!$B$16*A292*Assumptions!$B$18^INT(A292/Assumptions!$B$17)</f>
        <v>6081740800</v>
      </c>
      <c r="D292" s="8" t="n">
        <f aca="false">B292*Assumptions!$B$21</f>
        <v>6161633611499.46</v>
      </c>
      <c r="E292" s="8" t="n">
        <f aca="false">C292*Assumptions!$B$20</f>
        <v>243269632000</v>
      </c>
    </row>
    <row r="293" customFormat="false" ht="15" hidden="false" customHeight="true" outlineLevel="0" collapsed="false">
      <c r="A293" s="3" t="n">
        <v>291</v>
      </c>
      <c r="B293" s="7" t="n">
        <f aca="false">Assumptions!$B$14*Assumptions!$B$15^A293</f>
        <v>55197967769.6827</v>
      </c>
      <c r="C293" s="7" t="n">
        <f aca="false">Assumptions!$B$16*A293*Assumptions!$B$18^INT(A293/Assumptions!$B$17)</f>
        <v>6102712320</v>
      </c>
      <c r="D293" s="8" t="n">
        <f aca="false">B293*Assumptions!$B$21</f>
        <v>6623756132361.92</v>
      </c>
      <c r="E293" s="8" t="n">
        <f aca="false">C293*Assumptions!$B$20</f>
        <v>244108492800</v>
      </c>
    </row>
    <row r="294" customFormat="false" ht="15" hidden="false" customHeight="true" outlineLevel="0" collapsed="false">
      <c r="A294" s="3" t="n">
        <v>292</v>
      </c>
      <c r="B294" s="7" t="n">
        <f aca="false">Assumptions!$B$14*Assumptions!$B$15^A294</f>
        <v>59337815352.4089</v>
      </c>
      <c r="C294" s="7" t="n">
        <f aca="false">Assumptions!$B$16*A294*Assumptions!$B$18^INT(A294/Assumptions!$B$17)</f>
        <v>6123683840</v>
      </c>
      <c r="D294" s="8" t="n">
        <f aca="false">B294*Assumptions!$B$21</f>
        <v>7120537842289.06</v>
      </c>
      <c r="E294" s="8" t="n">
        <f aca="false">C294*Assumptions!$B$20</f>
        <v>244947353600</v>
      </c>
    </row>
    <row r="295" customFormat="false" ht="15" hidden="false" customHeight="true" outlineLevel="0" collapsed="false">
      <c r="A295" s="3" t="n">
        <v>293</v>
      </c>
      <c r="B295" s="7" t="n">
        <f aca="false">Assumptions!$B$14*Assumptions!$B$15^A295</f>
        <v>63788151503.8395</v>
      </c>
      <c r="C295" s="7" t="n">
        <f aca="false">Assumptions!$B$16*A295*Assumptions!$B$18^INT(A295/Assumptions!$B$17)</f>
        <v>6144655360</v>
      </c>
      <c r="D295" s="8" t="n">
        <f aca="false">B295*Assumptions!$B$21</f>
        <v>7654578180460.74</v>
      </c>
      <c r="E295" s="8" t="n">
        <f aca="false">C295*Assumptions!$B$20</f>
        <v>245786214400</v>
      </c>
    </row>
    <row r="296" customFormat="false" ht="15" hidden="false" customHeight="true" outlineLevel="0" collapsed="false">
      <c r="A296" s="3" t="n">
        <v>294</v>
      </c>
      <c r="B296" s="7" t="n">
        <f aca="false">Assumptions!$B$14*Assumptions!$B$15^A296</f>
        <v>68572262866.6275</v>
      </c>
      <c r="C296" s="7" t="n">
        <f aca="false">Assumptions!$B$16*A296*Assumptions!$B$18^INT(A296/Assumptions!$B$17)</f>
        <v>6165626880</v>
      </c>
      <c r="D296" s="8" t="n">
        <f aca="false">B296*Assumptions!$B$21</f>
        <v>8228671543995.3</v>
      </c>
      <c r="E296" s="8" t="n">
        <f aca="false">C296*Assumptions!$B$20</f>
        <v>246625075200</v>
      </c>
    </row>
    <row r="297" customFormat="false" ht="15" hidden="false" customHeight="true" outlineLevel="0" collapsed="false">
      <c r="A297" s="3" t="n">
        <v>295</v>
      </c>
      <c r="B297" s="7" t="n">
        <f aca="false">Assumptions!$B$14*Assumptions!$B$15^A297</f>
        <v>73715182581.6245</v>
      </c>
      <c r="C297" s="7" t="n">
        <f aca="false">Assumptions!$B$16*A297*Assumptions!$B$18^INT(A297/Assumptions!$B$17)</f>
        <v>6186598400</v>
      </c>
      <c r="D297" s="8" t="n">
        <f aca="false">B297*Assumptions!$B$21</f>
        <v>8845821909794.95</v>
      </c>
      <c r="E297" s="8" t="n">
        <f aca="false">C297*Assumptions!$B$20</f>
        <v>247463936000</v>
      </c>
    </row>
    <row r="298" customFormat="false" ht="15" hidden="false" customHeight="true" outlineLevel="0" collapsed="false">
      <c r="A298" s="3" t="n">
        <v>296</v>
      </c>
      <c r="B298" s="7" t="n">
        <f aca="false">Assumptions!$B$14*Assumptions!$B$15^A298</f>
        <v>79243821275.2464</v>
      </c>
      <c r="C298" s="7" t="n">
        <f aca="false">Assumptions!$B$16*A298*Assumptions!$B$18^INT(A298/Assumptions!$B$17)</f>
        <v>6207569920</v>
      </c>
      <c r="D298" s="8" t="n">
        <f aca="false">B298*Assumptions!$B$21</f>
        <v>9509258553029.57</v>
      </c>
      <c r="E298" s="8" t="n">
        <f aca="false">C298*Assumptions!$B$20</f>
        <v>248302796800</v>
      </c>
    </row>
    <row r="299" customFormat="false" ht="15" hidden="false" customHeight="true" outlineLevel="0" collapsed="false">
      <c r="A299" s="3" t="n">
        <v>297</v>
      </c>
      <c r="B299" s="7" t="n">
        <f aca="false">Assumptions!$B$14*Assumptions!$B$15^A299</f>
        <v>85187107870.8899</v>
      </c>
      <c r="C299" s="7" t="n">
        <f aca="false">Assumptions!$B$16*A299*Assumptions!$B$18^INT(A299/Assumptions!$B$17)</f>
        <v>6228541440</v>
      </c>
      <c r="D299" s="8" t="n">
        <f aca="false">B299*Assumptions!$B$21</f>
        <v>10222452944506.8</v>
      </c>
      <c r="E299" s="8" t="n">
        <f aca="false">C299*Assumptions!$B$20</f>
        <v>249141657600</v>
      </c>
    </row>
    <row r="300" customFormat="false" ht="15" hidden="false" customHeight="true" outlineLevel="0" collapsed="false">
      <c r="A300" s="3" t="n">
        <v>298</v>
      </c>
      <c r="B300" s="7" t="n">
        <f aca="false">Assumptions!$B$14*Assumptions!$B$15^A300</f>
        <v>91576140961.2066</v>
      </c>
      <c r="C300" s="7" t="n">
        <f aca="false">Assumptions!$B$16*A300*Assumptions!$B$18^INT(A300/Assumptions!$B$17)</f>
        <v>6249512960</v>
      </c>
      <c r="D300" s="8" t="n">
        <f aca="false">B300*Assumptions!$B$21</f>
        <v>10989136915344.8</v>
      </c>
      <c r="E300" s="8" t="n">
        <f aca="false">C300*Assumptions!$B$20</f>
        <v>249980518400</v>
      </c>
    </row>
    <row r="301" customFormat="false" ht="15" hidden="false" customHeight="true" outlineLevel="0" collapsed="false">
      <c r="A301" s="3" t="n">
        <v>299</v>
      </c>
      <c r="B301" s="7" t="n">
        <f aca="false">Assumptions!$B$14*Assumptions!$B$15^A301</f>
        <v>98444351533.2971</v>
      </c>
      <c r="C301" s="7" t="n">
        <f aca="false">Assumptions!$B$16*A301*Assumptions!$B$18^INT(A301/Assumptions!$B$17)</f>
        <v>6270484480</v>
      </c>
      <c r="D301" s="8" t="n">
        <f aca="false">B301*Assumptions!$B$21</f>
        <v>11813322183995.7</v>
      </c>
      <c r="E301" s="8" t="n">
        <f aca="false">C301*Assumptions!$B$20</f>
        <v>250819379200</v>
      </c>
    </row>
    <row r="302" customFormat="false" ht="15" hidden="false" customHeight="true" outlineLevel="0" collapsed="false">
      <c r="A302" s="3" t="n">
        <v>300</v>
      </c>
      <c r="B302" s="7" t="n">
        <f aca="false">Assumptions!$B$14*Assumptions!$B$15^A302</f>
        <v>105827677898.294</v>
      </c>
      <c r="C302" s="7" t="n">
        <f aca="false">Assumptions!$B$16*A302*Assumptions!$B$18^INT(A302/Assumptions!$B$17)</f>
        <v>25165824000</v>
      </c>
      <c r="D302" s="8" t="n">
        <f aca="false">B302*Assumptions!$B$21</f>
        <v>12699321347795.3</v>
      </c>
      <c r="E302" s="8" t="n">
        <f aca="false">C302*Assumptions!$B$20</f>
        <v>1006632960000</v>
      </c>
    </row>
    <row r="303" customFormat="false" ht="15" hidden="false" customHeight="true" outlineLevel="0" collapsed="false">
      <c r="A303" s="3" t="n">
        <v>301</v>
      </c>
      <c r="B303" s="7" t="n">
        <f aca="false">Assumptions!$B$14*Assumptions!$B$15^A303</f>
        <v>113764753740.666</v>
      </c>
      <c r="C303" s="7" t="n">
        <f aca="false">Assumptions!$B$16*A303*Assumptions!$B$18^INT(A303/Assumptions!$B$17)</f>
        <v>25249710080</v>
      </c>
      <c r="D303" s="8" t="n">
        <f aca="false">B303*Assumptions!$B$21</f>
        <v>13651770448880</v>
      </c>
      <c r="E303" s="8" t="n">
        <f aca="false">C303*Assumptions!$B$20</f>
        <v>1009988403200</v>
      </c>
    </row>
    <row r="304" customFormat="false" ht="15" hidden="false" customHeight="true" outlineLevel="0" collapsed="false">
      <c r="A304" s="3" t="n">
        <v>302</v>
      </c>
      <c r="B304" s="7" t="n">
        <f aca="false">Assumptions!$B$14*Assumptions!$B$15^A304</f>
        <v>122297110271.216</v>
      </c>
      <c r="C304" s="7" t="n">
        <f aca="false">Assumptions!$B$16*A304*Assumptions!$B$18^INT(A304/Assumptions!$B$17)</f>
        <v>25333596160</v>
      </c>
      <c r="D304" s="8" t="n">
        <f aca="false">B304*Assumptions!$B$21</f>
        <v>14675653232546</v>
      </c>
      <c r="E304" s="8" t="n">
        <f aca="false">C304*Assumptions!$B$20</f>
        <v>1013343846400</v>
      </c>
    </row>
    <row r="305" customFormat="false" ht="15" hidden="false" customHeight="true" outlineLevel="0" collapsed="false">
      <c r="A305" s="3" t="n">
        <v>303</v>
      </c>
      <c r="B305" s="7" t="n">
        <f aca="false">Assumptions!$B$14*Assumptions!$B$15^A305</f>
        <v>131469393541.558</v>
      </c>
      <c r="C305" s="7" t="n">
        <f aca="false">Assumptions!$B$16*A305*Assumptions!$B$18^INT(A305/Assumptions!$B$17)</f>
        <v>25417482240</v>
      </c>
      <c r="D305" s="8" t="n">
        <f aca="false">B305*Assumptions!$B$21</f>
        <v>15776327224986.9</v>
      </c>
      <c r="E305" s="8" t="n">
        <f aca="false">C305*Assumptions!$B$20</f>
        <v>1016699289600</v>
      </c>
    </row>
    <row r="306" customFormat="false" ht="15" hidden="false" customHeight="true" outlineLevel="0" collapsed="false">
      <c r="A306" s="3" t="n">
        <v>304</v>
      </c>
      <c r="B306" s="7" t="n">
        <f aca="false">Assumptions!$B$14*Assumptions!$B$15^A306</f>
        <v>141329598057.174</v>
      </c>
      <c r="C306" s="7" t="n">
        <f aca="false">Assumptions!$B$16*A306*Assumptions!$B$18^INT(A306/Assumptions!$B$17)</f>
        <v>25501368320</v>
      </c>
      <c r="D306" s="8" t="n">
        <f aca="false">B306*Assumptions!$B$21</f>
        <v>16959551766860.9</v>
      </c>
      <c r="E306" s="8" t="n">
        <f aca="false">C306*Assumptions!$B$20</f>
        <v>1020054732800</v>
      </c>
    </row>
    <row r="307" customFormat="false" ht="15" hidden="false" customHeight="true" outlineLevel="0" collapsed="false">
      <c r="A307" s="3" t="n">
        <v>305</v>
      </c>
      <c r="B307" s="7" t="n">
        <f aca="false">Assumptions!$B$14*Assumptions!$B$15^A307</f>
        <v>151929317911.463</v>
      </c>
      <c r="C307" s="7" t="n">
        <f aca="false">Assumptions!$B$16*A307*Assumptions!$B$18^INT(A307/Assumptions!$B$17)</f>
        <v>25585254400</v>
      </c>
      <c r="D307" s="8" t="n">
        <f aca="false">B307*Assumptions!$B$21</f>
        <v>18231518149375.5</v>
      </c>
      <c r="E307" s="8" t="n">
        <f aca="false">C307*Assumptions!$B$20</f>
        <v>1023410176000</v>
      </c>
    </row>
    <row r="308" customFormat="false" ht="15" hidden="false" customHeight="true" outlineLevel="0" collapsed="false">
      <c r="A308" s="3" t="n">
        <v>306</v>
      </c>
      <c r="B308" s="7" t="n">
        <f aca="false">Assumptions!$B$14*Assumptions!$B$15^A308</f>
        <v>163324016754.822</v>
      </c>
      <c r="C308" s="7" t="n">
        <f aca="false">Assumptions!$B$16*A308*Assumptions!$B$18^INT(A308/Assumptions!$B$17)</f>
        <v>25669140480</v>
      </c>
      <c r="D308" s="8" t="n">
        <f aca="false">B308*Assumptions!$B$21</f>
        <v>19598882010578.7</v>
      </c>
      <c r="E308" s="8" t="n">
        <f aca="false">C308*Assumptions!$B$20</f>
        <v>1026765619200</v>
      </c>
    </row>
    <row r="309" customFormat="false" ht="15" hidden="false" customHeight="true" outlineLevel="0" collapsed="false">
      <c r="A309" s="3" t="n">
        <v>307</v>
      </c>
      <c r="B309" s="7" t="n">
        <f aca="false">Assumptions!$B$14*Assumptions!$B$15^A309</f>
        <v>175573318011.434</v>
      </c>
      <c r="C309" s="7" t="n">
        <f aca="false">Assumptions!$B$16*A309*Assumptions!$B$18^INT(A309/Assumptions!$B$17)</f>
        <v>25753026560</v>
      </c>
      <c r="D309" s="8" t="n">
        <f aca="false">B309*Assumptions!$B$21</f>
        <v>21068798161372.1</v>
      </c>
      <c r="E309" s="8" t="n">
        <f aca="false">C309*Assumptions!$B$20</f>
        <v>1030121062400</v>
      </c>
    </row>
    <row r="310" customFormat="false" ht="15" hidden="false" customHeight="true" outlineLevel="0" collapsed="false">
      <c r="A310" s="3" t="n">
        <v>308</v>
      </c>
      <c r="B310" s="7" t="n">
        <f aca="false">Assumptions!$B$14*Assumptions!$B$15^A310</f>
        <v>188741316862.291</v>
      </c>
      <c r="C310" s="7" t="n">
        <f aca="false">Assumptions!$B$16*A310*Assumptions!$B$18^INT(A310/Assumptions!$B$17)</f>
        <v>25836912640</v>
      </c>
      <c r="D310" s="8" t="n">
        <f aca="false">B310*Assumptions!$B$21</f>
        <v>22648958023475</v>
      </c>
      <c r="E310" s="8" t="n">
        <f aca="false">C310*Assumptions!$B$20</f>
        <v>1033476505600</v>
      </c>
    </row>
    <row r="311" customFormat="false" ht="15" hidden="false" customHeight="true" outlineLevel="0" collapsed="false">
      <c r="A311" s="3" t="n">
        <v>309</v>
      </c>
      <c r="B311" s="7" t="n">
        <f aca="false">Assumptions!$B$14*Assumptions!$B$15^A311</f>
        <v>202896915626.963</v>
      </c>
      <c r="C311" s="7" t="n">
        <f aca="false">Assumptions!$B$16*A311*Assumptions!$B$18^INT(A311/Assumptions!$B$17)</f>
        <v>25920798720</v>
      </c>
      <c r="D311" s="8" t="n">
        <f aca="false">B311*Assumptions!$B$21</f>
        <v>24347629875235.6</v>
      </c>
      <c r="E311" s="8" t="n">
        <f aca="false">C311*Assumptions!$B$20</f>
        <v>1036831948800</v>
      </c>
    </row>
    <row r="312" customFormat="false" ht="15" hidden="false" customHeight="true" outlineLevel="0" collapsed="false">
      <c r="A312" s="3" t="n">
        <v>310</v>
      </c>
      <c r="B312" s="7" t="n">
        <f aca="false">Assumptions!$B$14*Assumptions!$B$15^A312</f>
        <v>218114184298.985</v>
      </c>
      <c r="C312" s="7" t="n">
        <f aca="false">Assumptions!$B$16*A312*Assumptions!$B$18^INT(A312/Assumptions!$B$17)</f>
        <v>26004684800</v>
      </c>
      <c r="D312" s="8" t="n">
        <f aca="false">B312*Assumptions!$B$21</f>
        <v>26173702115878.3</v>
      </c>
      <c r="E312" s="8" t="n">
        <f aca="false">C312*Assumptions!$B$20</f>
        <v>1040187392000</v>
      </c>
    </row>
    <row r="313" customFormat="false" ht="15" hidden="false" customHeight="true" outlineLevel="0" collapsed="false">
      <c r="A313" s="3" t="n">
        <v>311</v>
      </c>
      <c r="B313" s="7" t="n">
        <f aca="false">Assumptions!$B$14*Assumptions!$B$15^A313</f>
        <v>234472748121.409</v>
      </c>
      <c r="C313" s="7" t="n">
        <f aca="false">Assumptions!$B$16*A313*Assumptions!$B$18^INT(A313/Assumptions!$B$17)</f>
        <v>26088570880</v>
      </c>
      <c r="D313" s="8" t="n">
        <f aca="false">B313*Assumptions!$B$21</f>
        <v>28136729774569.1</v>
      </c>
      <c r="E313" s="8" t="n">
        <f aca="false">C313*Assumptions!$B$20</f>
        <v>1043542835200</v>
      </c>
    </row>
    <row r="314" customFormat="false" ht="15" hidden="false" customHeight="true" outlineLevel="0" collapsed="false">
      <c r="A314" s="3" t="n">
        <v>312</v>
      </c>
      <c r="B314" s="7" t="n">
        <f aca="false">Assumptions!$B$14*Assumptions!$B$15^A314</f>
        <v>252058204230.515</v>
      </c>
      <c r="C314" s="7" t="n">
        <f aca="false">Assumptions!$B$16*A314*Assumptions!$B$18^INT(A314/Assumptions!$B$17)</f>
        <v>26172456960</v>
      </c>
      <c r="D314" s="8" t="n">
        <f aca="false">B314*Assumptions!$B$21</f>
        <v>30246984507661.8</v>
      </c>
      <c r="E314" s="8" t="n">
        <f aca="false">C314*Assumptions!$B$20</f>
        <v>1046898278400</v>
      </c>
    </row>
    <row r="315" customFormat="false" ht="15" hidden="false" customHeight="true" outlineLevel="0" collapsed="false">
      <c r="A315" s="3" t="n">
        <v>313</v>
      </c>
      <c r="B315" s="7" t="n">
        <f aca="false">Assumptions!$B$14*Assumptions!$B$15^A315</f>
        <v>270962569547.804</v>
      </c>
      <c r="C315" s="7" t="n">
        <f aca="false">Assumptions!$B$16*A315*Assumptions!$B$18^INT(A315/Assumptions!$B$17)</f>
        <v>26256343040</v>
      </c>
      <c r="D315" s="8" t="n">
        <f aca="false">B315*Assumptions!$B$21</f>
        <v>32515508345736.4</v>
      </c>
      <c r="E315" s="8" t="n">
        <f aca="false">C315*Assumptions!$B$20</f>
        <v>1050253721600</v>
      </c>
    </row>
    <row r="316" customFormat="false" ht="15" hidden="false" customHeight="true" outlineLevel="0" collapsed="false">
      <c r="A316" s="3" t="n">
        <v>314</v>
      </c>
      <c r="B316" s="7" t="n">
        <f aca="false">Assumptions!$B$14*Assumptions!$B$15^A316</f>
        <v>291284762263.889</v>
      </c>
      <c r="C316" s="7" t="n">
        <f aca="false">Assumptions!$B$16*A316*Assumptions!$B$18^INT(A316/Assumptions!$B$17)</f>
        <v>26340229120</v>
      </c>
      <c r="D316" s="8" t="n">
        <f aca="false">B316*Assumptions!$B$21</f>
        <v>34954171471666.7</v>
      </c>
      <c r="E316" s="8" t="n">
        <f aca="false">C316*Assumptions!$B$20</f>
        <v>1053609164800</v>
      </c>
    </row>
    <row r="317" customFormat="false" ht="15" hidden="false" customHeight="true" outlineLevel="0" collapsed="false">
      <c r="A317" s="3" t="n">
        <v>315</v>
      </c>
      <c r="B317" s="7" t="n">
        <f aca="false">Assumptions!$B$14*Assumptions!$B$15^A317</f>
        <v>313131119433.681</v>
      </c>
      <c r="C317" s="7" t="n">
        <f aca="false">Assumptions!$B$16*A317*Assumptions!$B$18^INT(A317/Assumptions!$B$17)</f>
        <v>26424115200</v>
      </c>
      <c r="D317" s="8" t="n">
        <f aca="false">B317*Assumptions!$B$21</f>
        <v>37575734332041.7</v>
      </c>
      <c r="E317" s="8" t="n">
        <f aca="false">C317*Assumptions!$B$20</f>
        <v>1056964608000</v>
      </c>
    </row>
    <row r="318" customFormat="false" ht="15" hidden="false" customHeight="true" outlineLevel="0" collapsed="false">
      <c r="A318" s="3" t="n">
        <v>316</v>
      </c>
      <c r="B318" s="7" t="n">
        <f aca="false">Assumptions!$B$14*Assumptions!$B$15^A318</f>
        <v>336615953391.207</v>
      </c>
      <c r="C318" s="7" t="n">
        <f aca="false">Assumptions!$B$16*A318*Assumptions!$B$18^INT(A318/Assumptions!$B$17)</f>
        <v>26508001280</v>
      </c>
      <c r="D318" s="8" t="n">
        <f aca="false">B318*Assumptions!$B$21</f>
        <v>40393914406944.8</v>
      </c>
      <c r="E318" s="8" t="n">
        <f aca="false">C318*Assumptions!$B$20</f>
        <v>1060320051200</v>
      </c>
    </row>
    <row r="319" customFormat="false" ht="15" hidden="false" customHeight="true" outlineLevel="0" collapsed="false">
      <c r="A319" s="3" t="n">
        <v>317</v>
      </c>
      <c r="B319" s="7" t="n">
        <f aca="false">Assumptions!$B$14*Assumptions!$B$15^A319</f>
        <v>361862149895.547</v>
      </c>
      <c r="C319" s="7" t="n">
        <f aca="false">Assumptions!$B$16*A319*Assumptions!$B$18^INT(A319/Assumptions!$B$17)</f>
        <v>26591887360</v>
      </c>
      <c r="D319" s="8" t="n">
        <f aca="false">B319*Assumptions!$B$21</f>
        <v>43423457987465.7</v>
      </c>
      <c r="E319" s="8" t="n">
        <f aca="false">C319*Assumptions!$B$20</f>
        <v>1063675494400</v>
      </c>
    </row>
    <row r="320" customFormat="false" ht="15" hidden="false" customHeight="true" outlineLevel="0" collapsed="false">
      <c r="A320" s="3" t="n">
        <v>318</v>
      </c>
      <c r="B320" s="7" t="n">
        <f aca="false">Assumptions!$B$14*Assumptions!$B$15^A320</f>
        <v>389001811137.713</v>
      </c>
      <c r="C320" s="7" t="n">
        <f aca="false">Assumptions!$B$16*A320*Assumptions!$B$18^INT(A320/Assumptions!$B$17)</f>
        <v>26675773440</v>
      </c>
      <c r="D320" s="8" t="n">
        <f aca="false">B320*Assumptions!$B$21</f>
        <v>46680217336525.6</v>
      </c>
      <c r="E320" s="8" t="n">
        <f aca="false">C320*Assumptions!$B$20</f>
        <v>1067030937600</v>
      </c>
    </row>
    <row r="321" customFormat="false" ht="15" hidden="false" customHeight="true" outlineLevel="0" collapsed="false">
      <c r="A321" s="3" t="n">
        <v>319</v>
      </c>
      <c r="B321" s="7" t="n">
        <f aca="false">Assumptions!$B$14*Assumptions!$B$15^A321</f>
        <v>418176946973.042</v>
      </c>
      <c r="C321" s="7" t="n">
        <f aca="false">Assumptions!$B$16*A321*Assumptions!$B$18^INT(A321/Assumptions!$B$17)</f>
        <v>26759659520</v>
      </c>
      <c r="D321" s="8" t="n">
        <f aca="false">B321*Assumptions!$B$21</f>
        <v>50181233636765</v>
      </c>
      <c r="E321" s="8" t="n">
        <f aca="false">C321*Assumptions!$B$20</f>
        <v>1070386380800</v>
      </c>
    </row>
    <row r="322" customFormat="false" ht="15" hidden="false" customHeight="true" outlineLevel="0" collapsed="false">
      <c r="A322" s="3" t="n">
        <v>320</v>
      </c>
      <c r="B322" s="7" t="n">
        <f aca="false">Assumptions!$B$14*Assumptions!$B$15^A322</f>
        <v>449540217996.02</v>
      </c>
      <c r="C322" s="7" t="n">
        <f aca="false">Assumptions!$B$16*A322*Assumptions!$B$18^INT(A322/Assumptions!$B$17)</f>
        <v>26843545600</v>
      </c>
      <c r="D322" s="8" t="n">
        <f aca="false">B322*Assumptions!$B$21</f>
        <v>53944826159522.4</v>
      </c>
      <c r="E322" s="8" t="n">
        <f aca="false">C322*Assumptions!$B$20</f>
        <v>1073741824000</v>
      </c>
    </row>
    <row r="323" customFormat="false" ht="15" hidden="false" customHeight="true" outlineLevel="0" collapsed="false">
      <c r="A323" s="3" t="n">
        <v>321</v>
      </c>
      <c r="B323" s="7" t="n">
        <f aca="false">Assumptions!$B$14*Assumptions!$B$15^A323</f>
        <v>483255734345.721</v>
      </c>
      <c r="C323" s="7" t="n">
        <f aca="false">Assumptions!$B$16*A323*Assumptions!$B$18^INT(A323/Assumptions!$B$17)</f>
        <v>26927431680</v>
      </c>
      <c r="D323" s="8" t="n">
        <f aca="false">B323*Assumptions!$B$21</f>
        <v>57990688121486.6</v>
      </c>
      <c r="E323" s="8" t="n">
        <f aca="false">C323*Assumptions!$B$20</f>
        <v>1077097267200</v>
      </c>
    </row>
    <row r="324" customFormat="false" ht="15" hidden="false" customHeight="true" outlineLevel="0" collapsed="false">
      <c r="A324" s="3" t="n">
        <v>322</v>
      </c>
      <c r="B324" s="7" t="n">
        <f aca="false">Assumptions!$B$14*Assumptions!$B$15^A324</f>
        <v>519499914421.65</v>
      </c>
      <c r="C324" s="7" t="n">
        <f aca="false">Assumptions!$B$16*A324*Assumptions!$B$18^INT(A324/Assumptions!$B$17)</f>
        <v>27011317760</v>
      </c>
      <c r="D324" s="8" t="n">
        <f aca="false">B324*Assumptions!$B$21</f>
        <v>62339989730598</v>
      </c>
      <c r="E324" s="8" t="n">
        <f aca="false">C324*Assumptions!$B$20</f>
        <v>1080452710400</v>
      </c>
    </row>
    <row r="325" customFormat="false" ht="15" hidden="false" customHeight="true" outlineLevel="0" collapsed="false">
      <c r="A325" s="3" t="n">
        <v>323</v>
      </c>
      <c r="B325" s="7" t="n">
        <f aca="false">Assumptions!$B$14*Assumptions!$B$15^A325</f>
        <v>558462408003.274</v>
      </c>
      <c r="C325" s="7" t="n">
        <f aca="false">Assumptions!$B$16*A325*Assumptions!$B$18^INT(A325/Assumptions!$B$17)</f>
        <v>27095203840</v>
      </c>
      <c r="D325" s="8" t="n">
        <f aca="false">B325*Assumptions!$B$21</f>
        <v>67015488960392.9</v>
      </c>
      <c r="E325" s="8" t="n">
        <f aca="false">C325*Assumptions!$B$20</f>
        <v>1083808153600</v>
      </c>
    </row>
    <row r="326" customFormat="false" ht="15" hidden="false" customHeight="true" outlineLevel="0" collapsed="false">
      <c r="A326" s="3" t="n">
        <v>324</v>
      </c>
      <c r="B326" s="7" t="n">
        <f aca="false">Assumptions!$B$14*Assumptions!$B$15^A326</f>
        <v>600347088603.52</v>
      </c>
      <c r="C326" s="7" t="n">
        <f aca="false">Assumptions!$B$16*A326*Assumptions!$B$18^INT(A326/Assumptions!$B$17)</f>
        <v>27179089920</v>
      </c>
      <c r="D326" s="8" t="n">
        <f aca="false">B326*Assumptions!$B$21</f>
        <v>72041650632422.3</v>
      </c>
      <c r="E326" s="8" t="n">
        <f aca="false">C326*Assumptions!$B$20</f>
        <v>1087163596800</v>
      </c>
    </row>
    <row r="327" customFormat="false" ht="15" hidden="false" customHeight="true" outlineLevel="0" collapsed="false">
      <c r="A327" s="3" t="n">
        <v>325</v>
      </c>
      <c r="B327" s="7" t="n">
        <f aca="false">Assumptions!$B$14*Assumptions!$B$15^A327</f>
        <v>645373120248.783</v>
      </c>
      <c r="C327" s="7" t="n">
        <f aca="false">Assumptions!$B$16*A327*Assumptions!$B$18^INT(A327/Assumptions!$B$17)</f>
        <v>109051904000</v>
      </c>
      <c r="D327" s="8" t="n">
        <f aca="false">B327*Assumptions!$B$21</f>
        <v>77444774429854</v>
      </c>
      <c r="E327" s="8" t="n">
        <f aca="false">C327*Assumptions!$B$20</f>
        <v>4362076160000</v>
      </c>
    </row>
    <row r="328" customFormat="false" ht="15" hidden="false" customHeight="true" outlineLevel="0" collapsed="false">
      <c r="A328" s="3" t="n">
        <v>326</v>
      </c>
      <c r="B328" s="7" t="n">
        <f aca="false">Assumptions!$B$14*Assumptions!$B$15^A328</f>
        <v>693776104267.442</v>
      </c>
      <c r="C328" s="7" t="n">
        <f aca="false">Assumptions!$B$16*A328*Assumptions!$B$18^INT(A328/Assumptions!$B$17)</f>
        <v>109387448320</v>
      </c>
      <c r="D328" s="8" t="n">
        <f aca="false">B328*Assumptions!$B$21</f>
        <v>83253132512093.1</v>
      </c>
      <c r="E328" s="8" t="n">
        <f aca="false">C328*Assumptions!$B$20</f>
        <v>4375497932800</v>
      </c>
    </row>
    <row r="329" customFormat="false" ht="15" hidden="false" customHeight="true" outlineLevel="0" collapsed="false">
      <c r="A329" s="3" t="n">
        <v>327</v>
      </c>
      <c r="B329" s="7" t="n">
        <f aca="false">Assumptions!$B$14*Assumptions!$B$15^A329</f>
        <v>745809312087.5</v>
      </c>
      <c r="C329" s="7" t="n">
        <f aca="false">Assumptions!$B$16*A329*Assumptions!$B$18^INT(A329/Assumptions!$B$17)</f>
        <v>109722992640</v>
      </c>
      <c r="D329" s="8" t="n">
        <f aca="false">B329*Assumptions!$B$21</f>
        <v>89497117450500</v>
      </c>
      <c r="E329" s="8" t="n">
        <f aca="false">C329*Assumptions!$B$20</f>
        <v>4388919705600</v>
      </c>
    </row>
    <row r="330" customFormat="false" ht="15" hidden="false" customHeight="true" outlineLevel="0" collapsed="false">
      <c r="A330" s="3" t="n">
        <v>328</v>
      </c>
      <c r="B330" s="7" t="n">
        <f aca="false">Assumptions!$B$14*Assumptions!$B$15^A330</f>
        <v>801745010494.063</v>
      </c>
      <c r="C330" s="7" t="n">
        <f aca="false">Assumptions!$B$16*A330*Assumptions!$B$18^INT(A330/Assumptions!$B$17)</f>
        <v>110058536960</v>
      </c>
      <c r="D330" s="8" t="n">
        <f aca="false">B330*Assumptions!$B$21</f>
        <v>96209401259287.5</v>
      </c>
      <c r="E330" s="8" t="n">
        <f aca="false">C330*Assumptions!$B$20</f>
        <v>4402341478400</v>
      </c>
    </row>
    <row r="331" customFormat="false" ht="15" hidden="false" customHeight="true" outlineLevel="0" collapsed="false">
      <c r="A331" s="3" t="n">
        <v>329</v>
      </c>
      <c r="B331" s="7" t="n">
        <f aca="false">Assumptions!$B$14*Assumptions!$B$15^A331</f>
        <v>861875886281.117</v>
      </c>
      <c r="C331" s="7" t="n">
        <f aca="false">Assumptions!$B$16*A331*Assumptions!$B$18^INT(A331/Assumptions!$B$17)</f>
        <v>110394081280</v>
      </c>
      <c r="D331" s="8" t="n">
        <f aca="false">B331*Assumptions!$B$21</f>
        <v>103425106353734</v>
      </c>
      <c r="E331" s="8" t="n">
        <f aca="false">C331*Assumptions!$B$20</f>
        <v>4415763251200</v>
      </c>
    </row>
    <row r="332" customFormat="false" ht="15" hidden="false" customHeight="true" outlineLevel="0" collapsed="false">
      <c r="A332" s="3" t="n">
        <v>330</v>
      </c>
      <c r="B332" s="7" t="n">
        <f aca="false">Assumptions!$B$14*Assumptions!$B$15^A332</f>
        <v>926516577752.201</v>
      </c>
      <c r="C332" s="7" t="n">
        <f aca="false">Assumptions!$B$16*A332*Assumptions!$B$18^INT(A332/Assumptions!$B$17)</f>
        <v>110729625600</v>
      </c>
      <c r="D332" s="8" t="n">
        <f aca="false">B332*Assumptions!$B$21</f>
        <v>111181989330264</v>
      </c>
      <c r="E332" s="8" t="n">
        <f aca="false">C332*Assumptions!$B$20</f>
        <v>4429185024000</v>
      </c>
    </row>
    <row r="333" customFormat="false" ht="15" hidden="false" customHeight="true" outlineLevel="0" collapsed="false">
      <c r="A333" s="3" t="n">
        <v>331</v>
      </c>
      <c r="B333" s="7" t="n">
        <f aca="false">Assumptions!$B$14*Assumptions!$B$15^A333</f>
        <v>996005321083.616</v>
      </c>
      <c r="C333" s="7" t="n">
        <f aca="false">Assumptions!$B$16*A333*Assumptions!$B$18^INT(A333/Assumptions!$B$17)</f>
        <v>111065169920</v>
      </c>
      <c r="D333" s="8" t="n">
        <f aca="false">B333*Assumptions!$B$21</f>
        <v>119520638530034</v>
      </c>
      <c r="E333" s="8" t="n">
        <f aca="false">C333*Assumptions!$B$20</f>
        <v>4442606796800</v>
      </c>
    </row>
    <row r="334" customFormat="false" ht="15" hidden="false" customHeight="true" outlineLevel="0" collapsed="false">
      <c r="A334" s="3" t="n">
        <v>332</v>
      </c>
      <c r="B334" s="7" t="n">
        <f aca="false">Assumptions!$B$14*Assumptions!$B$15^A334</f>
        <v>1070705720164.89</v>
      </c>
      <c r="C334" s="7" t="n">
        <f aca="false">Assumptions!$B$16*A334*Assumptions!$B$18^INT(A334/Assumptions!$B$17)</f>
        <v>111400714240</v>
      </c>
      <c r="D334" s="8" t="n">
        <f aca="false">B334*Assumptions!$B$21</f>
        <v>128484686419787</v>
      </c>
      <c r="E334" s="8" t="n">
        <f aca="false">C334*Assumptions!$B$20</f>
        <v>4456028569600</v>
      </c>
    </row>
    <row r="335" customFormat="false" ht="15" hidden="false" customHeight="true" outlineLevel="0" collapsed="false">
      <c r="A335" s="3" t="n">
        <v>333</v>
      </c>
      <c r="B335" s="7" t="n">
        <f aca="false">Assumptions!$B$14*Assumptions!$B$15^A335</f>
        <v>1151008649177.25</v>
      </c>
      <c r="C335" s="7" t="n">
        <f aca="false">Assumptions!$B$16*A335*Assumptions!$B$18^INT(A335/Assumptions!$B$17)</f>
        <v>111736258560</v>
      </c>
      <c r="D335" s="8" t="n">
        <f aca="false">B335*Assumptions!$B$21</f>
        <v>138121037901270</v>
      </c>
      <c r="E335" s="8" t="n">
        <f aca="false">C335*Assumptions!$B$20</f>
        <v>4469450342400</v>
      </c>
    </row>
    <row r="336" customFormat="false" ht="15" hidden="false" customHeight="true" outlineLevel="0" collapsed="false">
      <c r="A336" s="3" t="n">
        <v>334</v>
      </c>
      <c r="B336" s="7" t="n">
        <f aca="false">Assumptions!$B$14*Assumptions!$B$15^A336</f>
        <v>1237334297865.55</v>
      </c>
      <c r="C336" s="7" t="n">
        <f aca="false">Assumptions!$B$16*A336*Assumptions!$B$18^INT(A336/Assumptions!$B$17)</f>
        <v>112071802880</v>
      </c>
      <c r="D336" s="8" t="n">
        <f aca="false">B336*Assumptions!$B$21</f>
        <v>148480115743866</v>
      </c>
      <c r="E336" s="8" t="n">
        <f aca="false">C336*Assumptions!$B$20</f>
        <v>4482872115200</v>
      </c>
    </row>
    <row r="337" customFormat="false" ht="15" hidden="false" customHeight="true" outlineLevel="0" collapsed="false">
      <c r="A337" s="3" t="n">
        <v>335</v>
      </c>
      <c r="B337" s="7" t="n">
        <f aca="false">Assumptions!$B$14*Assumptions!$B$15^A337</f>
        <v>1330134370205.46</v>
      </c>
      <c r="C337" s="7" t="n">
        <f aca="false">Assumptions!$B$16*A337*Assumptions!$B$18^INT(A337/Assumptions!$B$17)</f>
        <v>112407347200</v>
      </c>
      <c r="D337" s="8" t="n">
        <f aca="false">B337*Assumptions!$B$21</f>
        <v>159616124424656</v>
      </c>
      <c r="E337" s="8" t="n">
        <f aca="false">C337*Assumptions!$B$20</f>
        <v>4496293888000</v>
      </c>
    </row>
    <row r="338" customFormat="false" ht="15" hidden="false" customHeight="true" outlineLevel="0" collapsed="false">
      <c r="A338" s="3" t="n">
        <v>336</v>
      </c>
      <c r="B338" s="7" t="n">
        <f aca="false">Assumptions!$B$14*Assumptions!$B$15^A338</f>
        <v>1429894447970.87</v>
      </c>
      <c r="C338" s="7" t="n">
        <f aca="false">Assumptions!$B$16*A338*Assumptions!$B$18^INT(A338/Assumptions!$B$17)</f>
        <v>112742891520</v>
      </c>
      <c r="D338" s="8" t="n">
        <f aca="false">B338*Assumptions!$B$21</f>
        <v>171587333756505</v>
      </c>
      <c r="E338" s="8" t="n">
        <f aca="false">C338*Assumptions!$B$20</f>
        <v>4509715660800</v>
      </c>
    </row>
    <row r="339" customFormat="false" ht="15" hidden="false" customHeight="true" outlineLevel="0" collapsed="false">
      <c r="A339" s="3" t="n">
        <v>337</v>
      </c>
      <c r="B339" s="7" t="n">
        <f aca="false">Assumptions!$B$14*Assumptions!$B$15^A339</f>
        <v>1537136531568.69</v>
      </c>
      <c r="C339" s="7" t="n">
        <f aca="false">Assumptions!$B$16*A339*Assumptions!$B$18^INT(A339/Assumptions!$B$17)</f>
        <v>113078435840</v>
      </c>
      <c r="D339" s="8" t="n">
        <f aca="false">B339*Assumptions!$B$21</f>
        <v>184456383788243</v>
      </c>
      <c r="E339" s="8" t="n">
        <f aca="false">C339*Assumptions!$B$20</f>
        <v>4523137433600</v>
      </c>
    </row>
    <row r="340" customFormat="false" ht="15" hidden="false" customHeight="true" outlineLevel="0" collapsed="false">
      <c r="A340" s="3" t="n">
        <v>338</v>
      </c>
      <c r="B340" s="7" t="n">
        <f aca="false">Assumptions!$B$14*Assumptions!$B$15^A340</f>
        <v>1652421771436.34</v>
      </c>
      <c r="C340" s="7" t="n">
        <f aca="false">Assumptions!$B$16*A340*Assumptions!$B$18^INT(A340/Assumptions!$B$17)</f>
        <v>113413980160</v>
      </c>
      <c r="D340" s="8" t="n">
        <f aca="false">B340*Assumptions!$B$21</f>
        <v>198290612572361</v>
      </c>
      <c r="E340" s="8" t="n">
        <f aca="false">C340*Assumptions!$B$20</f>
        <v>4536559206400</v>
      </c>
    </row>
    <row r="341" customFormat="false" ht="15" hidden="false" customHeight="true" outlineLevel="0" collapsed="false">
      <c r="A341" s="3" t="n">
        <v>339</v>
      </c>
      <c r="B341" s="7" t="n">
        <f aca="false">Assumptions!$B$14*Assumptions!$B$15^A341</f>
        <v>1776353404294.07</v>
      </c>
      <c r="C341" s="7" t="n">
        <f aca="false">Assumptions!$B$16*A341*Assumptions!$B$18^INT(A341/Assumptions!$B$17)</f>
        <v>113749524480</v>
      </c>
      <c r="D341" s="8" t="n">
        <f aca="false">B341*Assumptions!$B$21</f>
        <v>213162408515288</v>
      </c>
      <c r="E341" s="8" t="n">
        <f aca="false">C341*Assumptions!$B$20</f>
        <v>4549980979200</v>
      </c>
    </row>
    <row r="342" customFormat="false" ht="15" hidden="false" customHeight="true" outlineLevel="0" collapsed="false">
      <c r="A342" s="3" t="n">
        <v>340</v>
      </c>
      <c r="B342" s="7" t="n">
        <f aca="false">Assumptions!$B$14*Assumptions!$B$15^A342</f>
        <v>1909579909616.12</v>
      </c>
      <c r="C342" s="7" t="n">
        <f aca="false">Assumptions!$B$16*A342*Assumptions!$B$18^INT(A342/Assumptions!$B$17)</f>
        <v>114085068800</v>
      </c>
      <c r="D342" s="8" t="n">
        <f aca="false">B342*Assumptions!$B$21</f>
        <v>229149589153935</v>
      </c>
      <c r="E342" s="8" t="n">
        <f aca="false">C342*Assumptions!$B$20</f>
        <v>4563402752000</v>
      </c>
    </row>
    <row r="343" customFormat="false" ht="15" hidden="false" customHeight="true" outlineLevel="0" collapsed="false">
      <c r="A343" s="3" t="n">
        <v>341</v>
      </c>
      <c r="B343" s="7" t="n">
        <f aca="false">Assumptions!$B$14*Assumptions!$B$15^A343</f>
        <v>2052798402837.33</v>
      </c>
      <c r="C343" s="7" t="n">
        <f aca="false">Assumptions!$B$16*A343*Assumptions!$B$18^INT(A343/Assumptions!$B$17)</f>
        <v>114420613120</v>
      </c>
      <c r="D343" s="8" t="n">
        <f aca="false">B343*Assumptions!$B$21</f>
        <v>246335808340480</v>
      </c>
      <c r="E343" s="8" t="n">
        <f aca="false">C343*Assumptions!$B$20</f>
        <v>4576824524800</v>
      </c>
    </row>
    <row r="344" customFormat="false" ht="15" hidden="false" customHeight="true" outlineLevel="0" collapsed="false">
      <c r="A344" s="3" t="n">
        <v>342</v>
      </c>
      <c r="B344" s="7" t="n">
        <f aca="false">Assumptions!$B$14*Assumptions!$B$15^A344</f>
        <v>2206758283050.13</v>
      </c>
      <c r="C344" s="7" t="n">
        <f aca="false">Assumptions!$B$16*A344*Assumptions!$B$18^INT(A344/Assumptions!$B$17)</f>
        <v>114756157440</v>
      </c>
      <c r="D344" s="8" t="n">
        <f aca="false">B344*Assumptions!$B$21</f>
        <v>264810993966016</v>
      </c>
      <c r="E344" s="8" t="n">
        <f aca="false">C344*Assumptions!$B$20</f>
        <v>4590246297600</v>
      </c>
    </row>
    <row r="345" customFormat="false" ht="15" hidden="false" customHeight="true" outlineLevel="0" collapsed="false">
      <c r="A345" s="3" t="n">
        <v>343</v>
      </c>
      <c r="B345" s="7" t="n">
        <f aca="false">Assumptions!$B$14*Assumptions!$B$15^A345</f>
        <v>2372265154278.89</v>
      </c>
      <c r="C345" s="7" t="n">
        <f aca="false">Assumptions!$B$16*A345*Assumptions!$B$18^INT(A345/Assumptions!$B$17)</f>
        <v>115091701760</v>
      </c>
      <c r="D345" s="8" t="n">
        <f aca="false">B345*Assumptions!$B$21</f>
        <v>284671818513467</v>
      </c>
      <c r="E345" s="8" t="n">
        <f aca="false">C345*Assumptions!$B$20</f>
        <v>4603668070400</v>
      </c>
    </row>
    <row r="346" customFormat="false" ht="15" hidden="false" customHeight="true" outlineLevel="0" collapsed="false">
      <c r="A346" s="3" t="n">
        <v>344</v>
      </c>
      <c r="B346" s="7" t="n">
        <f aca="false">Assumptions!$B$14*Assumptions!$B$15^A346</f>
        <v>2550185040849.81</v>
      </c>
      <c r="C346" s="7" t="n">
        <f aca="false">Assumptions!$B$16*A346*Assumptions!$B$18^INT(A346/Assumptions!$B$17)</f>
        <v>115427246080</v>
      </c>
      <c r="D346" s="8" t="n">
        <f aca="false">B346*Assumptions!$B$21</f>
        <v>306022204901977</v>
      </c>
      <c r="E346" s="8" t="n">
        <f aca="false">C346*Assumptions!$B$20</f>
        <v>4617089843200</v>
      </c>
    </row>
    <row r="347" customFormat="false" ht="15" hidden="false" customHeight="true" outlineLevel="0" collapsed="false">
      <c r="A347" s="3" t="n">
        <v>345</v>
      </c>
      <c r="B347" s="7" t="n">
        <f aca="false">Assumptions!$B$14*Assumptions!$B$15^A347</f>
        <v>2741448918913.54</v>
      </c>
      <c r="C347" s="7" t="n">
        <f aca="false">Assumptions!$B$16*A347*Assumptions!$B$18^INT(A347/Assumptions!$B$17)</f>
        <v>115762790400</v>
      </c>
      <c r="D347" s="8" t="n">
        <f aca="false">B347*Assumptions!$B$21</f>
        <v>328973870269625</v>
      </c>
      <c r="E347" s="8" t="n">
        <f aca="false">C347*Assumptions!$B$20</f>
        <v>4630511616000</v>
      </c>
    </row>
    <row r="348" customFormat="false" ht="15" hidden="false" customHeight="true" outlineLevel="0" collapsed="false">
      <c r="A348" s="3" t="n">
        <v>346</v>
      </c>
      <c r="B348" s="7" t="n">
        <f aca="false">Assumptions!$B$14*Assumptions!$B$15^A348</f>
        <v>2947057587832.06</v>
      </c>
      <c r="C348" s="7" t="n">
        <f aca="false">Assumptions!$B$16*A348*Assumptions!$B$18^INT(A348/Assumptions!$B$17)</f>
        <v>116098334720</v>
      </c>
      <c r="D348" s="8" t="n">
        <f aca="false">B348*Assumptions!$B$21</f>
        <v>353646910539847</v>
      </c>
      <c r="E348" s="8" t="n">
        <f aca="false">C348*Assumptions!$B$20</f>
        <v>4643933388800</v>
      </c>
    </row>
    <row r="349" customFormat="false" ht="15" hidden="false" customHeight="true" outlineLevel="0" collapsed="false">
      <c r="A349" s="3" t="n">
        <v>347</v>
      </c>
      <c r="B349" s="7" t="n">
        <f aca="false">Assumptions!$B$14*Assumptions!$B$15^A349</f>
        <v>3168086906919.46</v>
      </c>
      <c r="C349" s="7" t="n">
        <f aca="false">Assumptions!$B$16*A349*Assumptions!$B$18^INT(A349/Assumptions!$B$17)</f>
        <v>116433879040</v>
      </c>
      <c r="D349" s="8" t="n">
        <f aca="false">B349*Assumptions!$B$21</f>
        <v>380170428830335</v>
      </c>
      <c r="E349" s="8" t="n">
        <f aca="false">C349*Assumptions!$B$20</f>
        <v>4657355161600</v>
      </c>
    </row>
    <row r="350" customFormat="false" ht="15" hidden="false" customHeight="true" outlineLevel="0" collapsed="false">
      <c r="A350" s="3" t="n">
        <v>348</v>
      </c>
      <c r="B350" s="7" t="n">
        <f aca="false">Assumptions!$B$14*Assumptions!$B$15^A350</f>
        <v>3405693424938.42</v>
      </c>
      <c r="C350" s="7" t="n">
        <f aca="false">Assumptions!$B$16*A350*Assumptions!$B$18^INT(A350/Assumptions!$B$17)</f>
        <v>116769423360</v>
      </c>
      <c r="D350" s="8" t="n">
        <f aca="false">B350*Assumptions!$B$21</f>
        <v>408683210992610</v>
      </c>
      <c r="E350" s="8" t="n">
        <f aca="false">C350*Assumptions!$B$20</f>
        <v>4670776934400</v>
      </c>
    </row>
    <row r="351" customFormat="false" ht="15" hidden="false" customHeight="true" outlineLevel="0" collapsed="false">
      <c r="A351" s="3" t="n">
        <v>349</v>
      </c>
      <c r="B351" s="7" t="n">
        <f aca="false">Assumptions!$B$14*Assumptions!$B$15^A351</f>
        <v>3661120431808.8</v>
      </c>
      <c r="C351" s="7" t="n">
        <f aca="false">Assumptions!$B$16*A351*Assumptions!$B$18^INT(A351/Assumptions!$B$17)</f>
        <v>117104967680</v>
      </c>
      <c r="D351" s="8" t="n">
        <f aca="false">B351*Assumptions!$B$21</f>
        <v>439334451817056</v>
      </c>
      <c r="E351" s="8" t="n">
        <f aca="false">C351*Assumptions!$B$20</f>
        <v>4684198707200</v>
      </c>
    </row>
    <row r="352" customFormat="false" ht="15" hidden="false" customHeight="true" outlineLevel="0" collapsed="false">
      <c r="A352" s="3" t="n">
        <v>350</v>
      </c>
      <c r="B352" s="7" t="n">
        <f aca="false">Assumptions!$B$14*Assumptions!$B$15^A352</f>
        <v>3935704464194.46</v>
      </c>
      <c r="C352" s="7" t="n">
        <f aca="false">Assumptions!$B$16*A352*Assumptions!$B$18^INT(A352/Assumptions!$B$17)</f>
        <v>469762048000</v>
      </c>
      <c r="D352" s="8" t="n">
        <f aca="false">B352*Assumptions!$B$21</f>
        <v>472284535703336</v>
      </c>
      <c r="E352" s="8" t="n">
        <f aca="false">C352*Assumptions!$B$20</f>
        <v>18790481920000</v>
      </c>
    </row>
    <row r="353" customFormat="false" ht="15" hidden="false" customHeight="true" outlineLevel="0" collapsed="false">
      <c r="A353" s="3" t="n">
        <v>351</v>
      </c>
      <c r="B353" s="7" t="n">
        <f aca="false">Assumptions!$B$14*Assumptions!$B$15^A353</f>
        <v>4230882299009.05</v>
      </c>
      <c r="C353" s="7" t="n">
        <f aca="false">Assumptions!$B$16*A353*Assumptions!$B$18^INT(A353/Assumptions!$B$17)</f>
        <v>471104225280</v>
      </c>
      <c r="D353" s="8" t="n">
        <f aca="false">B353*Assumptions!$B$21</f>
        <v>507705875881086</v>
      </c>
      <c r="E353" s="8" t="n">
        <f aca="false">C353*Assumptions!$B$20</f>
        <v>18844169011200</v>
      </c>
    </row>
    <row r="354" customFormat="false" ht="15" hidden="false" customHeight="true" outlineLevel="0" collapsed="false">
      <c r="A354" s="3" t="n">
        <v>352</v>
      </c>
      <c r="B354" s="7" t="n">
        <f aca="false">Assumptions!$B$14*Assumptions!$B$15^A354</f>
        <v>4548198471434.73</v>
      </c>
      <c r="C354" s="7" t="n">
        <f aca="false">Assumptions!$B$16*A354*Assumptions!$B$18^INT(A354/Assumptions!$B$17)</f>
        <v>472446402560</v>
      </c>
      <c r="D354" s="8" t="n">
        <f aca="false">B354*Assumptions!$B$21</f>
        <v>545783816572167</v>
      </c>
      <c r="E354" s="8" t="n">
        <f aca="false">C354*Assumptions!$B$20</f>
        <v>18897856102400</v>
      </c>
    </row>
    <row r="355" customFormat="false" ht="15" hidden="false" customHeight="true" outlineLevel="0" collapsed="false">
      <c r="A355" s="3" t="n">
        <v>353</v>
      </c>
      <c r="B355" s="7" t="n">
        <f aca="false">Assumptions!$B$14*Assumptions!$B$15^A355</f>
        <v>4889313356792.33</v>
      </c>
      <c r="C355" s="7" t="n">
        <f aca="false">Assumptions!$B$16*A355*Assumptions!$B$18^INT(A355/Assumptions!$B$17)</f>
        <v>473788579840</v>
      </c>
      <c r="D355" s="8" t="n">
        <f aca="false">B355*Assumptions!$B$21</f>
        <v>586717602815080</v>
      </c>
      <c r="E355" s="8" t="n">
        <f aca="false">C355*Assumptions!$B$20</f>
        <v>18951543193600</v>
      </c>
    </row>
    <row r="356" customFormat="false" ht="15" hidden="false" customHeight="true" outlineLevel="0" collapsed="false">
      <c r="A356" s="3" t="n">
        <v>354</v>
      </c>
      <c r="B356" s="7" t="n">
        <f aca="false">Assumptions!$B$14*Assumptions!$B$15^A356</f>
        <v>5256011858551.75</v>
      </c>
      <c r="C356" s="7" t="n">
        <f aca="false">Assumptions!$B$16*A356*Assumptions!$B$18^INT(A356/Assumptions!$B$17)</f>
        <v>475130757120</v>
      </c>
      <c r="D356" s="8" t="n">
        <f aca="false">B356*Assumptions!$B$21</f>
        <v>630721423026211</v>
      </c>
      <c r="E356" s="8" t="n">
        <f aca="false">C356*Assumptions!$B$20</f>
        <v>19005230284800</v>
      </c>
    </row>
    <row r="357" customFormat="false" ht="15" hidden="false" customHeight="true" outlineLevel="0" collapsed="false">
      <c r="A357" s="3" t="n">
        <v>355</v>
      </c>
      <c r="B357" s="7" t="n">
        <f aca="false">Assumptions!$B$14*Assumptions!$B$15^A357</f>
        <v>5650212747943.14</v>
      </c>
      <c r="C357" s="7" t="n">
        <f aca="false">Assumptions!$B$16*A357*Assumptions!$B$18^INT(A357/Assumptions!$B$17)</f>
        <v>476472934400</v>
      </c>
      <c r="D357" s="8" t="n">
        <f aca="false">B357*Assumptions!$B$21</f>
        <v>678025529753176</v>
      </c>
      <c r="E357" s="8" t="n">
        <f aca="false">C357*Assumptions!$B$20</f>
        <v>19058917376000</v>
      </c>
    </row>
    <row r="358" customFormat="false" ht="15" hidden="false" customHeight="true" outlineLevel="0" collapsed="false">
      <c r="A358" s="3" t="n">
        <v>356</v>
      </c>
      <c r="B358" s="7" t="n">
        <f aca="false">Assumptions!$B$14*Assumptions!$B$15^A358</f>
        <v>6073978704038.87</v>
      </c>
      <c r="C358" s="7" t="n">
        <f aca="false">Assumptions!$B$16*A358*Assumptions!$B$18^INT(A358/Assumptions!$B$17)</f>
        <v>477815111680</v>
      </c>
      <c r="D358" s="8" t="n">
        <f aca="false">B358*Assumptions!$B$21</f>
        <v>728877444484664</v>
      </c>
      <c r="E358" s="8" t="n">
        <f aca="false">C358*Assumptions!$B$20</f>
        <v>19112604467200</v>
      </c>
    </row>
    <row r="359" customFormat="false" ht="15" hidden="false" customHeight="true" outlineLevel="0" collapsed="false">
      <c r="A359" s="3" t="n">
        <v>357</v>
      </c>
      <c r="B359" s="7" t="n">
        <f aca="false">Assumptions!$B$14*Assumptions!$B$15^A359</f>
        <v>6529527106841.79</v>
      </c>
      <c r="C359" s="7" t="n">
        <f aca="false">Assumptions!$B$16*A359*Assumptions!$B$18^INT(A359/Assumptions!$B$17)</f>
        <v>479157288960</v>
      </c>
      <c r="D359" s="8" t="n">
        <f aca="false">B359*Assumptions!$B$21</f>
        <v>783543252821014</v>
      </c>
      <c r="E359" s="8" t="n">
        <f aca="false">C359*Assumptions!$B$20</f>
        <v>19166291558400</v>
      </c>
    </row>
    <row r="360" customFormat="false" ht="15" hidden="false" customHeight="true" outlineLevel="0" collapsed="false">
      <c r="A360" s="3" t="n">
        <v>358</v>
      </c>
      <c r="B360" s="7" t="n">
        <f aca="false">Assumptions!$B$14*Assumptions!$B$15^A360</f>
        <v>7019241639854.92</v>
      </c>
      <c r="C360" s="7" t="n">
        <f aca="false">Assumptions!$B$16*A360*Assumptions!$B$18^INT(A360/Assumptions!$B$17)</f>
        <v>480499466240</v>
      </c>
      <c r="D360" s="8" t="n">
        <f aca="false">B360*Assumptions!$B$21</f>
        <v>842308996782590</v>
      </c>
      <c r="E360" s="8" t="n">
        <f aca="false">C360*Assumptions!$B$20</f>
        <v>19219978649600</v>
      </c>
    </row>
    <row r="361" customFormat="false" ht="15" hidden="false" customHeight="true" outlineLevel="0" collapsed="false">
      <c r="A361" s="3" t="n">
        <v>359</v>
      </c>
      <c r="B361" s="7" t="n">
        <f aca="false">Assumptions!$B$14*Assumptions!$B$15^A361</f>
        <v>7545684762844.04</v>
      </c>
      <c r="C361" s="7" t="n">
        <f aca="false">Assumptions!$B$16*A361*Assumptions!$B$18^INT(A361/Assumptions!$B$17)</f>
        <v>481841643520</v>
      </c>
      <c r="D361" s="8" t="n">
        <f aca="false">B361*Assumptions!$B$21</f>
        <v>905482171541285</v>
      </c>
      <c r="E361" s="8" t="n">
        <f aca="false">C361*Assumptions!$B$20</f>
        <v>19273665740800</v>
      </c>
    </row>
    <row r="362" customFormat="false" ht="15" hidden="false" customHeight="true" outlineLevel="0" collapsed="false">
      <c r="A362" s="3" t="n">
        <v>360</v>
      </c>
      <c r="B362" s="7" t="n">
        <f aca="false">Assumptions!$B$14*Assumptions!$B$15^A362</f>
        <v>8111611120057.34</v>
      </c>
      <c r="C362" s="7" t="n">
        <f aca="false">Assumptions!$B$16*A362*Assumptions!$B$18^INT(A362/Assumptions!$B$17)</f>
        <v>483183820800</v>
      </c>
      <c r="D362" s="8" t="n">
        <f aca="false">B362*Assumptions!$B$21</f>
        <v>973393334406881</v>
      </c>
      <c r="E362" s="8" t="n">
        <f aca="false">C362*Assumptions!$B$20</f>
        <v>19327352832000</v>
      </c>
    </row>
    <row r="363" customFormat="false" ht="15" hidden="false" customHeight="true" outlineLevel="0" collapsed="false">
      <c r="A363" s="3" t="n">
        <v>361</v>
      </c>
      <c r="B363" s="7" t="n">
        <f aca="false">Assumptions!$B$14*Assumptions!$B$15^A363</f>
        <v>8719981954061.64</v>
      </c>
      <c r="C363" s="7" t="n">
        <f aca="false">Assumptions!$B$16*A363*Assumptions!$B$18^INT(A363/Assumptions!$B$17)</f>
        <v>484525998080</v>
      </c>
      <c r="D363" s="8" t="n">
        <f aca="false">B363*Assumptions!$B$21</f>
        <v>1046397834487400</v>
      </c>
      <c r="E363" s="8" t="n">
        <f aca="false">C363*Assumptions!$B$20</f>
        <v>19381039923200</v>
      </c>
    </row>
    <row r="364" customFormat="false" ht="15" hidden="false" customHeight="true" outlineLevel="0" collapsed="false">
      <c r="A364" s="3" t="n">
        <v>362</v>
      </c>
      <c r="B364" s="7" t="n">
        <f aca="false">Assumptions!$B$14*Assumptions!$B$15^A364</f>
        <v>9373980600616.26</v>
      </c>
      <c r="C364" s="7" t="n">
        <f aca="false">Assumptions!$B$16*A364*Assumptions!$B$18^INT(A364/Assumptions!$B$17)</f>
        <v>485868175360</v>
      </c>
      <c r="D364" s="8" t="n">
        <f aca="false">B364*Assumptions!$B$21</f>
        <v>1124877672073950</v>
      </c>
      <c r="E364" s="8" t="n">
        <f aca="false">C364*Assumptions!$B$20</f>
        <v>19434727014400</v>
      </c>
    </row>
    <row r="365" customFormat="false" ht="15" hidden="false" customHeight="true" outlineLevel="0" collapsed="false">
      <c r="A365" s="3" t="n">
        <v>363</v>
      </c>
      <c r="B365" s="7" t="n">
        <f aca="false">Assumptions!$B$14*Assumptions!$B$15^A365</f>
        <v>10077029145662.5</v>
      </c>
      <c r="C365" s="7" t="n">
        <f aca="false">Assumptions!$B$16*A365*Assumptions!$B$18^INT(A365/Assumptions!$B$17)</f>
        <v>487210352640</v>
      </c>
      <c r="D365" s="8" t="n">
        <f aca="false">B365*Assumptions!$B$21</f>
        <v>1209243497479500</v>
      </c>
      <c r="E365" s="8" t="n">
        <f aca="false">C365*Assumptions!$B$20</f>
        <v>19488414105600</v>
      </c>
    </row>
    <row r="366" customFormat="false" ht="15" hidden="false" customHeight="true" outlineLevel="0" collapsed="false">
      <c r="A366" s="3" t="n">
        <v>364</v>
      </c>
      <c r="B366" s="7" t="n">
        <f aca="false">Assumptions!$B$14*Assumptions!$B$15^A366</f>
        <v>10832806331587.2</v>
      </c>
      <c r="C366" s="7" t="n">
        <f aca="false">Assumptions!$B$16*A366*Assumptions!$B$18^INT(A366/Assumptions!$B$17)</f>
        <v>488552529920</v>
      </c>
      <c r="D366" s="8" t="n">
        <f aca="false">B366*Assumptions!$B$21</f>
        <v>1299936759790460</v>
      </c>
      <c r="E366" s="8" t="n">
        <f aca="false">C366*Assumptions!$B$20</f>
        <v>19542101196800</v>
      </c>
    </row>
    <row r="367" customFormat="false" ht="15" hidden="false" customHeight="true" outlineLevel="0" collapsed="false">
      <c r="A367" s="3" t="n">
        <v>365</v>
      </c>
      <c r="B367" s="7" t="n">
        <f aca="false">Assumptions!$B$14*Assumptions!$B$15^A367</f>
        <v>11645266806456.2</v>
      </c>
      <c r="C367" s="7" t="n">
        <f aca="false">Assumptions!$B$16*A367*Assumptions!$B$18^INT(A367/Assumptions!$B$17)</f>
        <v>489894707200</v>
      </c>
      <c r="D367" s="8" t="n">
        <f aca="false">B367*Assumptions!$B$21</f>
        <v>1397432016774740</v>
      </c>
      <c r="E367" s="8" t="n">
        <f aca="false">C367*Assumptions!$B$20</f>
        <v>19595788288000</v>
      </c>
    </row>
    <row r="368" customFormat="false" ht="15" hidden="false" customHeight="true" outlineLevel="0" collapsed="false">
      <c r="A368" s="3" t="n">
        <v>366</v>
      </c>
      <c r="B368" s="7" t="n">
        <f aca="false">Assumptions!$B$14*Assumptions!$B$15^A368</f>
        <v>12518661816940.4</v>
      </c>
      <c r="C368" s="7" t="n">
        <f aca="false">Assumptions!$B$16*A368*Assumptions!$B$18^INT(A368/Assumptions!$B$17)</f>
        <v>491236884480</v>
      </c>
      <c r="D368" s="8" t="n">
        <f aca="false">B368*Assumptions!$B$21</f>
        <v>1502239418032850</v>
      </c>
      <c r="E368" s="8" t="n">
        <f aca="false">C368*Assumptions!$B$20</f>
        <v>19649475379200</v>
      </c>
    </row>
    <row r="369" customFormat="false" ht="15" hidden="false" customHeight="true" outlineLevel="0" collapsed="false">
      <c r="A369" s="3" t="n">
        <v>367</v>
      </c>
      <c r="B369" s="7" t="n">
        <f aca="false">Assumptions!$B$14*Assumptions!$B$15^A369</f>
        <v>13457561453211</v>
      </c>
      <c r="C369" s="7" t="n">
        <f aca="false">Assumptions!$B$16*A369*Assumptions!$B$18^INT(A369/Assumptions!$B$17)</f>
        <v>492579061760</v>
      </c>
      <c r="D369" s="8" t="n">
        <f aca="false">B369*Assumptions!$B$21</f>
        <v>1614907374385314</v>
      </c>
      <c r="E369" s="8" t="n">
        <f aca="false">C369*Assumptions!$B$20</f>
        <v>19703162470400</v>
      </c>
    </row>
    <row r="370" customFormat="false" ht="15" hidden="false" customHeight="true" outlineLevel="0" collapsed="false">
      <c r="A370" s="3" t="n">
        <v>368</v>
      </c>
      <c r="B370" s="7" t="n">
        <f aca="false">Assumptions!$B$14*Assumptions!$B$15^A370</f>
        <v>14466878562201.8</v>
      </c>
      <c r="C370" s="7" t="n">
        <f aca="false">Assumptions!$B$16*A370*Assumptions!$B$18^INT(A370/Assumptions!$B$17)</f>
        <v>493921239040</v>
      </c>
      <c r="D370" s="8" t="n">
        <f aca="false">B370*Assumptions!$B$21</f>
        <v>1736025427464210</v>
      </c>
      <c r="E370" s="8" t="n">
        <f aca="false">C370*Assumptions!$B$20</f>
        <v>19756849561600</v>
      </c>
    </row>
    <row r="371" customFormat="false" ht="15" hidden="false" customHeight="true" outlineLevel="0" collapsed="false">
      <c r="A371" s="3" t="n">
        <v>369</v>
      </c>
      <c r="B371" s="7" t="n">
        <f aca="false">Assumptions!$B$14*Assumptions!$B$15^A371</f>
        <v>15551894454366.9</v>
      </c>
      <c r="C371" s="7" t="n">
        <f aca="false">Assumptions!$B$16*A371*Assumptions!$B$18^INT(A371/Assumptions!$B$17)</f>
        <v>495263416320</v>
      </c>
      <c r="D371" s="8" t="n">
        <f aca="false">B371*Assumptions!$B$21</f>
        <v>1866227334524030</v>
      </c>
      <c r="E371" s="8" t="n">
        <f aca="false">C371*Assumptions!$B$20</f>
        <v>19810536652800</v>
      </c>
    </row>
    <row r="372" customFormat="false" ht="15" hidden="false" customHeight="true" outlineLevel="0" collapsed="false">
      <c r="A372" s="3" t="n">
        <v>370</v>
      </c>
      <c r="B372" s="7" t="n">
        <f aca="false">Assumptions!$B$14*Assumptions!$B$15^A372</f>
        <v>16718286538444.4</v>
      </c>
      <c r="C372" s="7" t="n">
        <f aca="false">Assumptions!$B$16*A372*Assumptions!$B$18^INT(A372/Assumptions!$B$17)</f>
        <v>496605593600</v>
      </c>
      <c r="D372" s="8" t="n">
        <f aca="false">B372*Assumptions!$B$21</f>
        <v>2006194384613330</v>
      </c>
      <c r="E372" s="8" t="n">
        <f aca="false">C372*Assumptions!$B$20</f>
        <v>19864223744000</v>
      </c>
    </row>
    <row r="373" customFormat="false" ht="15" hidden="false" customHeight="true" outlineLevel="0" collapsed="false">
      <c r="A373" s="3" t="n">
        <v>371</v>
      </c>
      <c r="B373" s="7" t="n">
        <f aca="false">Assumptions!$B$14*Assumptions!$B$15^A373</f>
        <v>17972158028827.8</v>
      </c>
      <c r="C373" s="7" t="n">
        <f aca="false">Assumptions!$B$16*A373*Assumptions!$B$18^INT(A373/Assumptions!$B$17)</f>
        <v>497947770880</v>
      </c>
      <c r="D373" s="8" t="n">
        <f aca="false">B373*Assumptions!$B$21</f>
        <v>2156658963459330</v>
      </c>
      <c r="E373" s="8" t="n">
        <f aca="false">C373*Assumptions!$B$20</f>
        <v>19917910835200</v>
      </c>
    </row>
    <row r="374" customFormat="false" ht="15" hidden="false" customHeight="true" outlineLevel="0" collapsed="false">
      <c r="A374" s="3" t="n">
        <v>372</v>
      </c>
      <c r="B374" s="7" t="n">
        <f aca="false">Assumptions!$B$14*Assumptions!$B$15^A374</f>
        <v>19320069880989.8</v>
      </c>
      <c r="C374" s="7" t="n">
        <f aca="false">Assumptions!$B$16*A374*Assumptions!$B$18^INT(A374/Assumptions!$B$17)</f>
        <v>499289948160</v>
      </c>
      <c r="D374" s="8" t="n">
        <f aca="false">B374*Assumptions!$B$21</f>
        <v>2318408385718780</v>
      </c>
      <c r="E374" s="8" t="n">
        <f aca="false">C374*Assumptions!$B$20</f>
        <v>19971597926400</v>
      </c>
    </row>
    <row r="375" customFormat="false" ht="15" hidden="false" customHeight="true" outlineLevel="0" collapsed="false">
      <c r="A375" s="3" t="n">
        <v>373</v>
      </c>
      <c r="B375" s="7" t="n">
        <f aca="false">Assumptions!$B$14*Assumptions!$B$15^A375</f>
        <v>20769075122064.1</v>
      </c>
      <c r="C375" s="7" t="n">
        <f aca="false">Assumptions!$B$16*A375*Assumptions!$B$18^INT(A375/Assumptions!$B$17)</f>
        <v>500632125440</v>
      </c>
      <c r="D375" s="8" t="n">
        <f aca="false">B375*Assumptions!$B$21</f>
        <v>2492289014647688</v>
      </c>
      <c r="E375" s="8" t="n">
        <f aca="false">C375*Assumptions!$B$20</f>
        <v>20025285017600</v>
      </c>
    </row>
    <row r="376" customFormat="false" ht="15" hidden="false" customHeight="true" outlineLevel="0" collapsed="false">
      <c r="A376" s="3" t="n">
        <v>374</v>
      </c>
      <c r="B376" s="7" t="n">
        <f aca="false">Assumptions!$B$14*Assumptions!$B$15^A376</f>
        <v>22326755756218.9</v>
      </c>
      <c r="C376" s="7" t="n">
        <f aca="false">Assumptions!$B$16*A376*Assumptions!$B$18^INT(A376/Assumptions!$B$17)</f>
        <v>501974302720</v>
      </c>
      <c r="D376" s="8" t="n">
        <f aca="false">B376*Assumptions!$B$21</f>
        <v>2679210690746260</v>
      </c>
      <c r="E376" s="8" t="n">
        <f aca="false">C376*Assumptions!$B$20</f>
        <v>20078972108800</v>
      </c>
    </row>
    <row r="377" customFormat="false" ht="15" hidden="false" customHeight="true" outlineLevel="0" collapsed="false">
      <c r="A377" s="3" t="n">
        <v>375</v>
      </c>
      <c r="B377" s="7" t="n">
        <f aca="false">Assumptions!$B$14*Assumptions!$B$15^A377</f>
        <v>24001262437935.3</v>
      </c>
      <c r="C377" s="7" t="n">
        <f aca="false">Assumptions!$B$16*A377*Assumptions!$B$18^INT(A377/Assumptions!$B$17)</f>
        <v>2013265920000</v>
      </c>
      <c r="D377" s="8" t="n">
        <f aca="false">B377*Assumptions!$B$21</f>
        <v>2880151492552234</v>
      </c>
      <c r="E377" s="8" t="n">
        <f aca="false">C377*Assumptions!$B$20</f>
        <v>80530636800000</v>
      </c>
    </row>
    <row r="378" customFormat="false" ht="15" hidden="false" customHeight="true" outlineLevel="0" collapsed="false">
      <c r="A378" s="3" t="n">
        <v>376</v>
      </c>
      <c r="B378" s="7" t="n">
        <f aca="false">Assumptions!$B$14*Assumptions!$B$15^A378</f>
        <v>25801357120780.4</v>
      </c>
      <c r="C378" s="7" t="n">
        <f aca="false">Assumptions!$B$16*A378*Assumptions!$B$18^INT(A378/Assumptions!$B$17)</f>
        <v>2018634629120</v>
      </c>
      <c r="D378" s="8" t="n">
        <f aca="false">B378*Assumptions!$B$21</f>
        <v>3096162854493650</v>
      </c>
      <c r="E378" s="8" t="n">
        <f aca="false">C378*Assumptions!$B$20</f>
        <v>80745385164800</v>
      </c>
    </row>
    <row r="379" customFormat="false" ht="15" hidden="false" customHeight="true" outlineLevel="0" collapsed="false">
      <c r="A379" s="3" t="n">
        <v>377</v>
      </c>
      <c r="B379" s="7" t="n">
        <f aca="false">Assumptions!$B$14*Assumptions!$B$15^A379</f>
        <v>27736458904839</v>
      </c>
      <c r="C379" s="7" t="n">
        <f aca="false">Assumptions!$B$16*A379*Assumptions!$B$18^INT(A379/Assumptions!$B$17)</f>
        <v>2024003338240</v>
      </c>
      <c r="D379" s="8" t="n">
        <f aca="false">B379*Assumptions!$B$21</f>
        <v>3328375068580680</v>
      </c>
      <c r="E379" s="8" t="n">
        <f aca="false">C379*Assumptions!$B$20</f>
        <v>80960133529600</v>
      </c>
    </row>
    <row r="380" customFormat="false" ht="15" hidden="false" customHeight="true" outlineLevel="0" collapsed="false">
      <c r="A380" s="3" t="n">
        <v>378</v>
      </c>
      <c r="B380" s="7" t="n">
        <f aca="false">Assumptions!$B$14*Assumptions!$B$15^A380</f>
        <v>29816693322701.9</v>
      </c>
      <c r="C380" s="7" t="n">
        <f aca="false">Assumptions!$B$16*A380*Assumptions!$B$18^INT(A380/Assumptions!$B$17)</f>
        <v>2029372047360</v>
      </c>
      <c r="D380" s="8" t="n">
        <f aca="false">B380*Assumptions!$B$21</f>
        <v>3578003198724230</v>
      </c>
      <c r="E380" s="8" t="n">
        <f aca="false">C380*Assumptions!$B$20</f>
        <v>81174881894400</v>
      </c>
    </row>
    <row r="381" customFormat="false" ht="15" hidden="false" customHeight="true" outlineLevel="0" collapsed="false">
      <c r="A381" s="3" t="n">
        <v>379</v>
      </c>
      <c r="B381" s="7" t="n">
        <f aca="false">Assumptions!$B$14*Assumptions!$B$15^A381</f>
        <v>32052945321904.5</v>
      </c>
      <c r="C381" s="7" t="n">
        <f aca="false">Assumptions!$B$16*A381*Assumptions!$B$18^INT(A381/Assumptions!$B$17)</f>
        <v>2034740756480</v>
      </c>
      <c r="D381" s="8" t="n">
        <f aca="false">B381*Assumptions!$B$21</f>
        <v>3846353438628543</v>
      </c>
      <c r="E381" s="8" t="n">
        <f aca="false">C381*Assumptions!$B$20</f>
        <v>81389630259200</v>
      </c>
    </row>
    <row r="382" customFormat="false" ht="15" hidden="false" customHeight="true" outlineLevel="0" collapsed="false">
      <c r="A382" s="3" t="n">
        <v>380</v>
      </c>
      <c r="B382" s="7" t="n">
        <f aca="false">Assumptions!$B$14*Assumptions!$B$15^A382</f>
        <v>34456916221047.4</v>
      </c>
      <c r="C382" s="7" t="n">
        <f aca="false">Assumptions!$B$16*A382*Assumptions!$B$18^INT(A382/Assumptions!$B$17)</f>
        <v>2040109465600</v>
      </c>
      <c r="D382" s="8" t="n">
        <f aca="false">B382*Assumptions!$B$21</f>
        <v>4134829946525683</v>
      </c>
      <c r="E382" s="8" t="n">
        <f aca="false">C382*Assumptions!$B$20</f>
        <v>81604378624000</v>
      </c>
    </row>
    <row r="383" customFormat="false" ht="15" hidden="false" customHeight="true" outlineLevel="0" collapsed="false">
      <c r="A383" s="3" t="n">
        <v>381</v>
      </c>
      <c r="B383" s="7" t="n">
        <f aca="false">Assumptions!$B$14*Assumptions!$B$15^A383</f>
        <v>37041184937625.9</v>
      </c>
      <c r="C383" s="7" t="n">
        <f aca="false">Assumptions!$B$16*A383*Assumptions!$B$18^INT(A383/Assumptions!$B$17)</f>
        <v>2045478174720</v>
      </c>
      <c r="D383" s="8" t="n">
        <f aca="false">B383*Assumptions!$B$21</f>
        <v>4444942192515109</v>
      </c>
      <c r="E383" s="8" t="n">
        <f aca="false">C383*Assumptions!$B$20</f>
        <v>81819126988800</v>
      </c>
    </row>
    <row r="384" customFormat="false" ht="15" hidden="false" customHeight="true" outlineLevel="0" collapsed="false">
      <c r="A384" s="3" t="n">
        <v>382</v>
      </c>
      <c r="B384" s="7" t="n">
        <f aca="false">Assumptions!$B$14*Assumptions!$B$15^A384</f>
        <v>39819273807947.9</v>
      </c>
      <c r="C384" s="7" t="n">
        <f aca="false">Assumptions!$B$16*A384*Assumptions!$B$18^INT(A384/Assumptions!$B$17)</f>
        <v>2050846883840</v>
      </c>
      <c r="D384" s="8" t="n">
        <f aca="false">B384*Assumptions!$B$21</f>
        <v>4778312856953742</v>
      </c>
      <c r="E384" s="8" t="n">
        <f aca="false">C384*Assumptions!$B$20</f>
        <v>82033875353600</v>
      </c>
    </row>
    <row r="385" customFormat="false" ht="15" hidden="false" customHeight="true" outlineLevel="0" collapsed="false">
      <c r="A385" s="3" t="n">
        <v>383</v>
      </c>
      <c r="B385" s="7" t="n">
        <f aca="false">Assumptions!$B$14*Assumptions!$B$15^A385</f>
        <v>42805719343543.9</v>
      </c>
      <c r="C385" s="7" t="n">
        <f aca="false">Assumptions!$B$16*A385*Assumptions!$B$18^INT(A385/Assumptions!$B$17)</f>
        <v>2056215592960</v>
      </c>
      <c r="D385" s="8" t="n">
        <f aca="false">B385*Assumptions!$B$21</f>
        <v>5136686321225272</v>
      </c>
      <c r="E385" s="8" t="n">
        <f aca="false">C385*Assumptions!$B$20</f>
        <v>82248623718400</v>
      </c>
    </row>
    <row r="386" customFormat="false" ht="15" hidden="false" customHeight="true" outlineLevel="0" collapsed="false">
      <c r="A386" s="3" t="n">
        <v>384</v>
      </c>
      <c r="B386" s="7" t="n">
        <f aca="false">Assumptions!$B$14*Assumptions!$B$15^A386</f>
        <v>46016148294309.7</v>
      </c>
      <c r="C386" s="7" t="n">
        <f aca="false">Assumptions!$B$16*A386*Assumptions!$B$18^INT(A386/Assumptions!$B$17)</f>
        <v>2061584302080</v>
      </c>
      <c r="D386" s="8" t="n">
        <f aca="false">B386*Assumptions!$B$21</f>
        <v>5521937795317167</v>
      </c>
      <c r="E386" s="8" t="n">
        <f aca="false">C386*Assumptions!$B$20</f>
        <v>82463372083200</v>
      </c>
    </row>
    <row r="387" customFormat="false" ht="15" hidden="false" customHeight="true" outlineLevel="0" collapsed="false">
      <c r="A387" s="3" t="n">
        <v>385</v>
      </c>
      <c r="B387" s="7" t="n">
        <f aca="false">Assumptions!$B$14*Assumptions!$B$15^A387</f>
        <v>49467359416383</v>
      </c>
      <c r="C387" s="7" t="n">
        <f aca="false">Assumptions!$B$16*A387*Assumptions!$B$18^INT(A387/Assumptions!$B$17)</f>
        <v>2066953011200</v>
      </c>
      <c r="D387" s="8" t="n">
        <f aca="false">B387*Assumptions!$B$21</f>
        <v>5936083129965955</v>
      </c>
      <c r="E387" s="8" t="n">
        <f aca="false">C387*Assumptions!$B$20</f>
        <v>82678120448000</v>
      </c>
    </row>
    <row r="388" customFormat="false" ht="15" hidden="false" customHeight="true" outlineLevel="0" collapsed="false">
      <c r="A388" s="3" t="n">
        <v>386</v>
      </c>
      <c r="B388" s="7" t="n">
        <f aca="false">Assumptions!$B$14*Assumptions!$B$15^A388</f>
        <v>53177411372611.7</v>
      </c>
      <c r="C388" s="7" t="n">
        <f aca="false">Assumptions!$B$16*A388*Assumptions!$B$18^INT(A388/Assumptions!$B$17)</f>
        <v>2072321720320</v>
      </c>
      <c r="D388" s="8" t="n">
        <f aca="false">B388*Assumptions!$B$21</f>
        <v>6381289364713402</v>
      </c>
      <c r="E388" s="8" t="n">
        <f aca="false">C388*Assumptions!$B$20</f>
        <v>82892868812800</v>
      </c>
    </row>
    <row r="389" customFormat="false" ht="15" hidden="false" customHeight="true" outlineLevel="0" collapsed="false">
      <c r="A389" s="3" t="n">
        <v>387</v>
      </c>
      <c r="B389" s="7" t="n">
        <f aca="false">Assumptions!$B$14*Assumptions!$B$15^A389</f>
        <v>57165717225557.6</v>
      </c>
      <c r="C389" s="7" t="n">
        <f aca="false">Assumptions!$B$16*A389*Assumptions!$B$18^INT(A389/Assumptions!$B$17)</f>
        <v>2077690429440</v>
      </c>
      <c r="D389" s="8" t="n">
        <f aca="false">B389*Assumptions!$B$21</f>
        <v>6859886067066906</v>
      </c>
      <c r="E389" s="8" t="n">
        <f aca="false">C389*Assumptions!$B$20</f>
        <v>83107617177600</v>
      </c>
    </row>
    <row r="390" customFormat="false" ht="15" hidden="false" customHeight="true" outlineLevel="0" collapsed="false">
      <c r="A390" s="3" t="n">
        <v>388</v>
      </c>
      <c r="B390" s="7" t="n">
        <f aca="false">Assumptions!$B$14*Assumptions!$B$15^A390</f>
        <v>61453146017474.4</v>
      </c>
      <c r="C390" s="7" t="n">
        <f aca="false">Assumptions!$B$16*A390*Assumptions!$B$18^INT(A390/Assumptions!$B$17)</f>
        <v>2083059138560</v>
      </c>
      <c r="D390" s="8" t="n">
        <f aca="false">B390*Assumptions!$B$21</f>
        <v>7374377522096924</v>
      </c>
      <c r="E390" s="8" t="n">
        <f aca="false">C390*Assumptions!$B$20</f>
        <v>83322365542400</v>
      </c>
    </row>
    <row r="391" customFormat="false" ht="15" hidden="false" customHeight="true" outlineLevel="0" collapsed="false">
      <c r="A391" s="3" t="n">
        <v>389</v>
      </c>
      <c r="B391" s="7" t="n">
        <f aca="false">Assumptions!$B$14*Assumptions!$B$15^A391</f>
        <v>66062131968784.9</v>
      </c>
      <c r="C391" s="7" t="n">
        <f aca="false">Assumptions!$B$16*A391*Assumptions!$B$18^INT(A391/Assumptions!$B$17)</f>
        <v>2088427847680</v>
      </c>
      <c r="D391" s="8" t="n">
        <f aca="false">B391*Assumptions!$B$21</f>
        <v>7927455836254192</v>
      </c>
      <c r="E391" s="8" t="n">
        <f aca="false">C391*Assumptions!$B$20</f>
        <v>83537113907200</v>
      </c>
    </row>
    <row r="392" customFormat="false" ht="15" hidden="false" customHeight="true" outlineLevel="0" collapsed="false">
      <c r="A392" s="3" t="n">
        <v>390</v>
      </c>
      <c r="B392" s="7" t="n">
        <f aca="false">Assumptions!$B$14*Assumptions!$B$15^A392</f>
        <v>71016791866443.8</v>
      </c>
      <c r="C392" s="7" t="n">
        <f aca="false">Assumptions!$B$16*A392*Assumptions!$B$18^INT(A392/Assumptions!$B$17)</f>
        <v>2093796556800</v>
      </c>
      <c r="D392" s="8" t="n">
        <f aca="false">B392*Assumptions!$B$21</f>
        <v>8522015023973258</v>
      </c>
      <c r="E392" s="8" t="n">
        <f aca="false">C392*Assumptions!$B$20</f>
        <v>83751862272000</v>
      </c>
    </row>
    <row r="393" customFormat="false" ht="15" hidden="false" customHeight="true" outlineLevel="0" collapsed="false">
      <c r="A393" s="3" t="n">
        <v>391</v>
      </c>
      <c r="B393" s="7" t="n">
        <f aca="false">Assumptions!$B$14*Assumptions!$B$15^A393</f>
        <v>76343051256427.1</v>
      </c>
      <c r="C393" s="7" t="n">
        <f aca="false">Assumptions!$B$16*A393*Assumptions!$B$18^INT(A393/Assumptions!$B$17)</f>
        <v>2099165265920</v>
      </c>
      <c r="D393" s="8" t="n">
        <f aca="false">B393*Assumptions!$B$21</f>
        <v>9161166150771250</v>
      </c>
      <c r="E393" s="8" t="n">
        <f aca="false">C393*Assumptions!$B$20</f>
        <v>83966610636800</v>
      </c>
    </row>
    <row r="394" customFormat="false" ht="15" hidden="false" customHeight="true" outlineLevel="0" collapsed="false">
      <c r="A394" s="3" t="n">
        <v>392</v>
      </c>
      <c r="B394" s="7" t="n">
        <f aca="false">Assumptions!$B$14*Assumptions!$B$15^A394</f>
        <v>82068780100659.1</v>
      </c>
      <c r="C394" s="7" t="n">
        <f aca="false">Assumptions!$B$16*A394*Assumptions!$B$18^INT(A394/Assumptions!$B$17)</f>
        <v>2104533975040</v>
      </c>
      <c r="D394" s="8" t="n">
        <f aca="false">B394*Assumptions!$B$21</f>
        <v>9848253612079100</v>
      </c>
      <c r="E394" s="8" t="n">
        <f aca="false">C394*Assumptions!$B$20</f>
        <v>84181359001600</v>
      </c>
    </row>
    <row r="395" customFormat="false" ht="15" hidden="false" customHeight="true" outlineLevel="0" collapsed="false">
      <c r="A395" s="3" t="n">
        <v>393</v>
      </c>
      <c r="B395" s="7" t="n">
        <f aca="false">Assumptions!$B$14*Assumptions!$B$15^A395</f>
        <v>88223938608208.6</v>
      </c>
      <c r="C395" s="7" t="n">
        <f aca="false">Assumptions!$B$16*A395*Assumptions!$B$18^INT(A395/Assumptions!$B$17)</f>
        <v>2109902684160</v>
      </c>
      <c r="D395" s="8" t="n">
        <f aca="false">B395*Assumptions!$B$21</f>
        <v>10586872632985000</v>
      </c>
      <c r="E395" s="8" t="n">
        <f aca="false">C395*Assumptions!$B$20</f>
        <v>84396107366400</v>
      </c>
    </row>
    <row r="396" customFormat="false" ht="15" hidden="false" customHeight="true" outlineLevel="0" collapsed="false">
      <c r="A396" s="3" t="n">
        <v>394</v>
      </c>
      <c r="B396" s="7" t="n">
        <f aca="false">Assumptions!$B$14*Assumptions!$B$15^A396</f>
        <v>94840734003824.2</v>
      </c>
      <c r="C396" s="7" t="n">
        <f aca="false">Assumptions!$B$16*A396*Assumptions!$B$18^INT(A396/Assumptions!$B$17)</f>
        <v>2115271393280</v>
      </c>
      <c r="D396" s="8" t="n">
        <f aca="false">B396*Assumptions!$B$21</f>
        <v>11380888080458900</v>
      </c>
      <c r="E396" s="8" t="n">
        <f aca="false">C396*Assumptions!$B$20</f>
        <v>84610855731200</v>
      </c>
    </row>
    <row r="397" customFormat="false" ht="15" hidden="false" customHeight="true" outlineLevel="0" collapsed="false">
      <c r="A397" s="3" t="n">
        <v>395</v>
      </c>
      <c r="B397" s="7" t="n">
        <f aca="false">Assumptions!$B$14*Assumptions!$B$15^A397</f>
        <v>101953789054111</v>
      </c>
      <c r="C397" s="7" t="n">
        <f aca="false">Assumptions!$B$16*A397*Assumptions!$B$18^INT(A397/Assumptions!$B$17)</f>
        <v>2120640102400</v>
      </c>
      <c r="D397" s="8" t="n">
        <f aca="false">B397*Assumptions!$B$21</f>
        <v>12234454686493300</v>
      </c>
      <c r="E397" s="8" t="n">
        <f aca="false">C397*Assumptions!$B$20</f>
        <v>84825604096000</v>
      </c>
    </row>
    <row r="398" customFormat="false" ht="15" hidden="false" customHeight="true" outlineLevel="0" collapsed="false">
      <c r="A398" s="3" t="n">
        <v>396</v>
      </c>
      <c r="B398" s="7" t="n">
        <f aca="false">Assumptions!$B$14*Assumptions!$B$15^A398</f>
        <v>109600323233169</v>
      </c>
      <c r="C398" s="7" t="n">
        <f aca="false">Assumptions!$B$16*A398*Assumptions!$B$18^INT(A398/Assumptions!$B$17)</f>
        <v>2126008811520</v>
      </c>
      <c r="D398" s="8" t="n">
        <f aca="false">B398*Assumptions!$B$21</f>
        <v>13152038787980300</v>
      </c>
      <c r="E398" s="8" t="n">
        <f aca="false">C398*Assumptions!$B$20</f>
        <v>85040352460800</v>
      </c>
    </row>
    <row r="399" customFormat="false" ht="15" hidden="false" customHeight="true" outlineLevel="0" collapsed="false">
      <c r="A399" s="3" t="n">
        <v>397</v>
      </c>
      <c r="B399" s="7" t="n">
        <f aca="false">Assumptions!$B$14*Assumptions!$B$15^A399</f>
        <v>117820347475657</v>
      </c>
      <c r="C399" s="7" t="n">
        <f aca="false">Assumptions!$B$16*A399*Assumptions!$B$18^INT(A399/Assumptions!$B$17)</f>
        <v>2131377520640</v>
      </c>
      <c r="D399" s="8" t="n">
        <f aca="false">B399*Assumptions!$B$21</f>
        <v>14138441697078800</v>
      </c>
      <c r="E399" s="8" t="n">
        <f aca="false">C399*Assumptions!$B$20</f>
        <v>85255100825600</v>
      </c>
    </row>
    <row r="400" customFormat="false" ht="15" hidden="false" customHeight="true" outlineLevel="0" collapsed="false">
      <c r="A400" s="3" t="n">
        <v>398</v>
      </c>
      <c r="B400" s="7" t="n">
        <f aca="false">Assumptions!$B$14*Assumptions!$B$15^A400</f>
        <v>126656873536331</v>
      </c>
      <c r="C400" s="7" t="n">
        <f aca="false">Assumptions!$B$16*A400*Assumptions!$B$18^INT(A400/Assumptions!$B$17)</f>
        <v>2136746229760</v>
      </c>
      <c r="D400" s="8" t="n">
        <f aca="false">B400*Assumptions!$B$21</f>
        <v>15198824824359800</v>
      </c>
      <c r="E400" s="8" t="n">
        <f aca="false">C400*Assumptions!$B$20</f>
        <v>85469849190400</v>
      </c>
    </row>
    <row r="401" customFormat="false" ht="15" hidden="false" customHeight="true" outlineLevel="0" collapsed="false">
      <c r="A401" s="3" t="n">
        <v>399</v>
      </c>
      <c r="B401" s="7" t="n">
        <f aca="false">Assumptions!$B$14*Assumptions!$B$15^A401</f>
        <v>136156139051556</v>
      </c>
      <c r="C401" s="7" t="n">
        <f aca="false">Assumptions!$B$16*A401*Assumptions!$B$18^INT(A401/Assumptions!$B$17)</f>
        <v>2142114938880</v>
      </c>
      <c r="D401" s="8" t="n">
        <f aca="false">B401*Assumptions!$B$21</f>
        <v>16338736686186700</v>
      </c>
      <c r="E401" s="8" t="n">
        <f aca="false">C401*Assumptions!$B$20</f>
        <v>85684597555200</v>
      </c>
    </row>
    <row r="402" customFormat="false" ht="15" hidden="false" customHeight="true" outlineLevel="0" collapsed="false">
      <c r="A402" s="3" t="n">
        <v>400</v>
      </c>
      <c r="B402" s="7" t="n">
        <f aca="false">Assumptions!$B$14*Assumptions!$B$15^A402</f>
        <v>146367849480423</v>
      </c>
      <c r="C402" s="7" t="n">
        <f aca="false">Assumptions!$B$16*A402*Assumptions!$B$18^INT(A402/Assumptions!$B$17)</f>
        <v>8589934592000</v>
      </c>
      <c r="D402" s="8" t="n">
        <f aca="false">B402*Assumptions!$B$21</f>
        <v>17564141937650700</v>
      </c>
      <c r="E402" s="8" t="n">
        <f aca="false">C402*Assumptions!$B$20</f>
        <v>343597383680000</v>
      </c>
    </row>
    <row r="403" customFormat="false" ht="15" hidden="false" customHeight="true" outlineLevel="0" collapsed="false">
      <c r="A403" s="3" t="n">
        <v>401</v>
      </c>
      <c r="B403" s="7" t="n">
        <f aca="false">Assumptions!$B$14*Assumptions!$B$15^A403</f>
        <v>157345438191455</v>
      </c>
      <c r="C403" s="7" t="n">
        <f aca="false">Assumptions!$B$16*A403*Assumptions!$B$18^INT(A403/Assumptions!$B$17)</f>
        <v>8611409428480</v>
      </c>
      <c r="D403" s="8" t="n">
        <f aca="false">B403*Assumptions!$B$21</f>
        <v>18881452582974500</v>
      </c>
      <c r="E403" s="8" t="n">
        <f aca="false">C403*Assumptions!$B$20</f>
        <v>344456377139200</v>
      </c>
    </row>
    <row r="404" customFormat="false" ht="15" hidden="false" customHeight="true" outlineLevel="0" collapsed="false">
      <c r="A404" s="3" t="n">
        <v>402</v>
      </c>
      <c r="B404" s="7" t="n">
        <f aca="false">Assumptions!$B$14*Assumptions!$B$15^A404</f>
        <v>169146346055814</v>
      </c>
      <c r="C404" s="7" t="n">
        <f aca="false">Assumptions!$B$16*A404*Assumptions!$B$18^INT(A404/Assumptions!$B$17)</f>
        <v>8632884264960</v>
      </c>
      <c r="D404" s="8" t="n">
        <f aca="false">B404*Assumptions!$B$21</f>
        <v>20297561526697600</v>
      </c>
      <c r="E404" s="8" t="n">
        <f aca="false">C404*Assumptions!$B$20</f>
        <v>345315370598400</v>
      </c>
    </row>
    <row r="405" customFormat="false" ht="15" hidden="false" customHeight="true" outlineLevel="0" collapsed="false">
      <c r="A405" s="3" t="n">
        <v>403</v>
      </c>
      <c r="B405" s="7" t="n">
        <f aca="false">Assumptions!$B$14*Assumptions!$B$15^A405</f>
        <v>181832322010000</v>
      </c>
      <c r="C405" s="7" t="n">
        <f aca="false">Assumptions!$B$16*A405*Assumptions!$B$18^INT(A405/Assumptions!$B$17)</f>
        <v>8654359101440</v>
      </c>
      <c r="D405" s="8" t="n">
        <f aca="false">B405*Assumptions!$B$21</f>
        <v>21819878641200000</v>
      </c>
      <c r="E405" s="8" t="n">
        <f aca="false">C405*Assumptions!$B$20</f>
        <v>346174364057600</v>
      </c>
    </row>
    <row r="406" customFormat="false" ht="15" hidden="false" customHeight="true" outlineLevel="0" collapsed="false">
      <c r="A406" s="3" t="n">
        <v>404</v>
      </c>
      <c r="B406" s="7" t="n">
        <f aca="false">Assumptions!$B$14*Assumptions!$B$15^A406</f>
        <v>195469746160750</v>
      </c>
      <c r="C406" s="7" t="n">
        <f aca="false">Assumptions!$B$16*A406*Assumptions!$B$18^INT(A406/Assumptions!$B$17)</f>
        <v>8675833937920</v>
      </c>
      <c r="D406" s="8" t="n">
        <f aca="false">B406*Assumptions!$B$21</f>
        <v>23456369539290000</v>
      </c>
      <c r="E406" s="8" t="n">
        <f aca="false">C406*Assumptions!$B$20</f>
        <v>347033357516800</v>
      </c>
    </row>
    <row r="407" customFormat="false" ht="15" hidden="false" customHeight="true" outlineLevel="0" collapsed="false">
      <c r="A407" s="3" t="n">
        <v>405</v>
      </c>
      <c r="B407" s="7" t="n">
        <f aca="false">Assumptions!$B$14*Assumptions!$B$15^A407</f>
        <v>210129977122806</v>
      </c>
      <c r="C407" s="7" t="n">
        <f aca="false">Assumptions!$B$16*A407*Assumptions!$B$18^INT(A407/Assumptions!$B$17)</f>
        <v>8697308774400</v>
      </c>
      <c r="D407" s="8" t="n">
        <f aca="false">B407*Assumptions!$B$21</f>
        <v>25215597254736700</v>
      </c>
      <c r="E407" s="8" t="n">
        <f aca="false">C407*Assumptions!$B$20</f>
        <v>347892350976000</v>
      </c>
    </row>
    <row r="408" customFormat="false" ht="15" hidden="false" customHeight="true" outlineLevel="0" collapsed="false">
      <c r="A408" s="3" t="n">
        <v>406</v>
      </c>
      <c r="B408" s="7" t="n">
        <f aca="false">Assumptions!$B$14*Assumptions!$B$15^A408</f>
        <v>225889725407016</v>
      </c>
      <c r="C408" s="7" t="n">
        <f aca="false">Assumptions!$B$16*A408*Assumptions!$B$18^INT(A408/Assumptions!$B$17)</f>
        <v>8718783610880</v>
      </c>
      <c r="D408" s="8" t="n">
        <f aca="false">B408*Assumptions!$B$21</f>
        <v>27106767048841900</v>
      </c>
      <c r="E408" s="8" t="n">
        <f aca="false">C408*Assumptions!$B$20</f>
        <v>348751344435200</v>
      </c>
    </row>
    <row r="409" customFormat="false" ht="15" hidden="false" customHeight="true" outlineLevel="0" collapsed="false">
      <c r="A409" s="3" t="n">
        <v>407</v>
      </c>
      <c r="B409" s="7" t="n">
        <f aca="false">Assumptions!$B$14*Assumptions!$B$15^A409</f>
        <v>242831454812542</v>
      </c>
      <c r="C409" s="7" t="n">
        <f aca="false">Assumptions!$B$16*A409*Assumptions!$B$18^INT(A409/Assumptions!$B$17)</f>
        <v>8740258447360</v>
      </c>
      <c r="D409" s="8" t="n">
        <f aca="false">B409*Assumptions!$B$21</f>
        <v>29139774577505100</v>
      </c>
      <c r="E409" s="8" t="n">
        <f aca="false">C409*Assumptions!$B$20</f>
        <v>349610337894400</v>
      </c>
    </row>
    <row r="410" customFormat="false" ht="15" hidden="false" customHeight="true" outlineLevel="0" collapsed="false">
      <c r="A410" s="3" t="n">
        <v>408</v>
      </c>
      <c r="B410" s="7" t="n">
        <f aca="false">Assumptions!$B$14*Assumptions!$B$15^A410</f>
        <v>261043813923483</v>
      </c>
      <c r="C410" s="7" t="n">
        <f aca="false">Assumptions!$B$16*A410*Assumptions!$B$18^INT(A410/Assumptions!$B$17)</f>
        <v>8761733283840</v>
      </c>
      <c r="D410" s="8" t="n">
        <f aca="false">B410*Assumptions!$B$21</f>
        <v>31325257670818000</v>
      </c>
      <c r="E410" s="8" t="n">
        <f aca="false">C410*Assumptions!$B$20</f>
        <v>350469331353600</v>
      </c>
    </row>
    <row r="411" customFormat="false" ht="15" hidden="false" customHeight="true" outlineLevel="0" collapsed="false">
      <c r="A411" s="3" t="n">
        <v>409</v>
      </c>
      <c r="B411" s="7" t="n">
        <f aca="false">Assumptions!$B$14*Assumptions!$B$15^A411</f>
        <v>280622099967744</v>
      </c>
      <c r="C411" s="7" t="n">
        <f aca="false">Assumptions!$B$16*A411*Assumptions!$B$18^INT(A411/Assumptions!$B$17)</f>
        <v>8783208120320</v>
      </c>
      <c r="D411" s="8" t="n">
        <f aca="false">B411*Assumptions!$B$21</f>
        <v>33674651996129300</v>
      </c>
      <c r="E411" s="8" t="n">
        <f aca="false">C411*Assumptions!$B$20</f>
        <v>351328324812800</v>
      </c>
    </row>
    <row r="412" customFormat="false" ht="15" hidden="false" customHeight="true" outlineLevel="0" collapsed="false">
      <c r="A412" s="3" t="n">
        <v>410</v>
      </c>
      <c r="B412" s="7" t="n">
        <f aca="false">Assumptions!$B$14*Assumptions!$B$15^A412</f>
        <v>301668757465325</v>
      </c>
      <c r="C412" s="7" t="n">
        <f aca="false">Assumptions!$B$16*A412*Assumptions!$B$18^INT(A412/Assumptions!$B$17)</f>
        <v>8804682956800</v>
      </c>
      <c r="D412" s="8" t="n">
        <f aca="false">B412*Assumptions!$B$21</f>
        <v>36200250895839000</v>
      </c>
      <c r="E412" s="8" t="n">
        <f aca="false">C412*Assumptions!$B$20</f>
        <v>352187318272000</v>
      </c>
    </row>
    <row r="413" customFormat="false" ht="15" hidden="false" customHeight="true" outlineLevel="0" collapsed="false">
      <c r="A413" s="3" t="n">
        <v>411</v>
      </c>
      <c r="B413" s="7" t="n">
        <f aca="false">Assumptions!$B$14*Assumptions!$B$15^A413</f>
        <v>324293914275225</v>
      </c>
      <c r="C413" s="7" t="n">
        <f aca="false">Assumptions!$B$16*A413*Assumptions!$B$18^INT(A413/Assumptions!$B$17)</f>
        <v>8826157793280</v>
      </c>
      <c r="D413" s="8" t="n">
        <f aca="false">B413*Assumptions!$B$21</f>
        <v>38915269713026900</v>
      </c>
      <c r="E413" s="8" t="n">
        <f aca="false">C413*Assumptions!$B$20</f>
        <v>353046311731200</v>
      </c>
    </row>
    <row r="414" customFormat="false" ht="15" hidden="false" customHeight="true" outlineLevel="0" collapsed="false">
      <c r="A414" s="3" t="n">
        <v>412</v>
      </c>
      <c r="B414" s="7" t="n">
        <f aca="false">Assumptions!$B$14*Assumptions!$B$15^A414</f>
        <v>348615957845866</v>
      </c>
      <c r="C414" s="7" t="n">
        <f aca="false">Assumptions!$B$16*A414*Assumptions!$B$18^INT(A414/Assumptions!$B$17)</f>
        <v>8847632629760</v>
      </c>
      <c r="D414" s="8" t="n">
        <f aca="false">B414*Assumptions!$B$21</f>
        <v>41833914941504000</v>
      </c>
      <c r="E414" s="8" t="n">
        <f aca="false">C414*Assumptions!$B$20</f>
        <v>353905305190400</v>
      </c>
    </row>
    <row r="415" customFormat="false" ht="15" hidden="false" customHeight="true" outlineLevel="0" collapsed="false">
      <c r="A415" s="3" t="n">
        <v>413</v>
      </c>
      <c r="B415" s="7" t="n">
        <f aca="false">Assumptions!$B$14*Assumptions!$B$15^A415</f>
        <v>374762154684306</v>
      </c>
      <c r="C415" s="7" t="n">
        <f aca="false">Assumptions!$B$16*A415*Assumptions!$B$18^INT(A415/Assumptions!$B$17)</f>
        <v>8869107466240</v>
      </c>
      <c r="D415" s="8" t="n">
        <f aca="false">B415*Assumptions!$B$21</f>
        <v>44971458562116800</v>
      </c>
      <c r="E415" s="8" t="n">
        <f aca="false">C415*Assumptions!$B$20</f>
        <v>354764298649600</v>
      </c>
    </row>
    <row r="416" customFormat="false" ht="15" hidden="false" customHeight="true" outlineLevel="0" collapsed="false">
      <c r="A416" s="3" t="n">
        <v>414</v>
      </c>
      <c r="B416" s="7" t="n">
        <f aca="false">Assumptions!$B$14*Assumptions!$B$15^A416</f>
        <v>402869316285629</v>
      </c>
      <c r="C416" s="7" t="n">
        <f aca="false">Assumptions!$B$16*A416*Assumptions!$B$18^INT(A416/Assumptions!$B$17)</f>
        <v>8890582302720</v>
      </c>
      <c r="D416" s="8" t="n">
        <f aca="false">B416*Assumptions!$B$21</f>
        <v>48344317954275500</v>
      </c>
      <c r="E416" s="8" t="n">
        <f aca="false">C416*Assumptions!$B$20</f>
        <v>355623292108800</v>
      </c>
    </row>
    <row r="417" customFormat="false" ht="15" hidden="false" customHeight="true" outlineLevel="0" collapsed="false">
      <c r="A417" s="3" t="n">
        <v>415</v>
      </c>
      <c r="B417" s="7" t="n">
        <f aca="false">Assumptions!$B$14*Assumptions!$B$15^A417</f>
        <v>433084515007051</v>
      </c>
      <c r="C417" s="7" t="n">
        <f aca="false">Assumptions!$B$16*A417*Assumptions!$B$18^INT(A417/Assumptions!$B$17)</f>
        <v>8912057139200</v>
      </c>
      <c r="D417" s="8" t="n">
        <f aca="false">B417*Assumptions!$B$21</f>
        <v>51970141800846200</v>
      </c>
      <c r="E417" s="8" t="n">
        <f aca="false">C417*Assumptions!$B$20</f>
        <v>356482285568000</v>
      </c>
    </row>
    <row r="418" customFormat="false" ht="15" hidden="false" customHeight="true" outlineLevel="0" collapsed="false">
      <c r="A418" s="3" t="n">
        <v>416</v>
      </c>
      <c r="B418" s="7" t="n">
        <f aca="false">Assumptions!$B$14*Assumptions!$B$15^A418</f>
        <v>465565853632580</v>
      </c>
      <c r="C418" s="7" t="n">
        <f aca="false">Assumptions!$B$16*A418*Assumptions!$B$18^INT(A418/Assumptions!$B$17)</f>
        <v>8933531975680</v>
      </c>
      <c r="D418" s="8" t="n">
        <f aca="false">B418*Assumptions!$B$21</f>
        <v>55867902435909600</v>
      </c>
      <c r="E418" s="8" t="n">
        <f aca="false">C418*Assumptions!$B$20</f>
        <v>357341279027200</v>
      </c>
    </row>
    <row r="419" customFormat="false" ht="15" hidden="false" customHeight="true" outlineLevel="0" collapsed="false">
      <c r="A419" s="3" t="n">
        <v>417</v>
      </c>
      <c r="B419" s="7" t="n">
        <f aca="false">Assumptions!$B$14*Assumptions!$B$15^A419</f>
        <v>500483292655024</v>
      </c>
      <c r="C419" s="7" t="n">
        <f aca="false">Assumptions!$B$16*A419*Assumptions!$B$18^INT(A419/Assumptions!$B$17)</f>
        <v>8955006812160</v>
      </c>
      <c r="D419" s="8" t="n">
        <f aca="false">B419*Assumptions!$B$21</f>
        <v>60057995118602900</v>
      </c>
      <c r="E419" s="8" t="n">
        <f aca="false">C419*Assumptions!$B$20</f>
        <v>358200272486400</v>
      </c>
    </row>
    <row r="420" customFormat="false" ht="15" hidden="false" customHeight="true" outlineLevel="0" collapsed="false">
      <c r="A420" s="3" t="n">
        <v>418</v>
      </c>
      <c r="B420" s="7" t="n">
        <f aca="false">Assumptions!$B$14*Assumptions!$B$15^A420</f>
        <v>538019539604151</v>
      </c>
      <c r="C420" s="7" t="n">
        <f aca="false">Assumptions!$B$16*A420*Assumptions!$B$18^INT(A420/Assumptions!$B$17)</f>
        <v>8976481648640</v>
      </c>
      <c r="D420" s="8" t="n">
        <f aca="false">B420*Assumptions!$B$21</f>
        <v>64562344752498100</v>
      </c>
      <c r="E420" s="8" t="n">
        <f aca="false">C420*Assumptions!$B$20</f>
        <v>359059265945600</v>
      </c>
    </row>
    <row r="421" customFormat="false" ht="15" hidden="false" customHeight="true" outlineLevel="0" collapsed="false">
      <c r="A421" s="3" t="n">
        <v>419</v>
      </c>
      <c r="B421" s="7" t="n">
        <f aca="false">Assumptions!$B$14*Assumptions!$B$15^A421</f>
        <v>578371005074462</v>
      </c>
      <c r="C421" s="7" t="n">
        <f aca="false">Assumptions!$B$16*A421*Assumptions!$B$18^INT(A421/Assumptions!$B$17)</f>
        <v>8997956485120</v>
      </c>
      <c r="D421" s="8" t="n">
        <f aca="false">B421*Assumptions!$B$21</f>
        <v>69404520608935400</v>
      </c>
      <c r="E421" s="8" t="n">
        <f aca="false">C421*Assumptions!$B$20</f>
        <v>359918259404800</v>
      </c>
    </row>
    <row r="422" customFormat="false" ht="15" hidden="false" customHeight="true" outlineLevel="0" collapsed="false">
      <c r="A422" s="3" t="n">
        <v>420</v>
      </c>
      <c r="B422" s="7" t="n">
        <f aca="false">Assumptions!$B$14*Assumptions!$B$15^A422</f>
        <v>621748830455046</v>
      </c>
      <c r="C422" s="7" t="n">
        <f aca="false">Assumptions!$B$16*A422*Assumptions!$B$18^INT(A422/Assumptions!$B$17)</f>
        <v>9019431321600</v>
      </c>
      <c r="D422" s="8" t="n">
        <f aca="false">B422*Assumptions!$B$21</f>
        <v>74609859654605600</v>
      </c>
      <c r="E422" s="8" t="n">
        <f aca="false">C422*Assumptions!$B$20</f>
        <v>360777252864000</v>
      </c>
    </row>
    <row r="423" customFormat="false" ht="15" hidden="false" customHeight="true" outlineLevel="0" collapsed="false">
      <c r="A423" s="3" t="n">
        <v>421</v>
      </c>
      <c r="B423" s="7" t="n">
        <f aca="false">Assumptions!$B$14*Assumptions!$B$15^A423</f>
        <v>668379992739175</v>
      </c>
      <c r="C423" s="7" t="n">
        <f aca="false">Assumptions!$B$16*A423*Assumptions!$B$18^INT(A423/Assumptions!$B$17)</f>
        <v>9040906158080</v>
      </c>
      <c r="D423" s="8" t="n">
        <f aca="false">B423*Assumptions!$B$21</f>
        <v>80205599128701000</v>
      </c>
      <c r="E423" s="8" t="n">
        <f aca="false">C423*Assumptions!$B$20</f>
        <v>361636246323200</v>
      </c>
    </row>
    <row r="424" customFormat="false" ht="15" hidden="false" customHeight="true" outlineLevel="0" collapsed="false">
      <c r="A424" s="3" t="n">
        <v>422</v>
      </c>
      <c r="B424" s="7" t="n">
        <f aca="false">Assumptions!$B$14*Assumptions!$B$15^A424</f>
        <v>718508492194613</v>
      </c>
      <c r="C424" s="7" t="n">
        <f aca="false">Assumptions!$B$16*A424*Assumptions!$B$18^INT(A424/Assumptions!$B$17)</f>
        <v>9062380994560</v>
      </c>
      <c r="D424" s="8" t="n">
        <f aca="false">B424*Assumptions!$B$21</f>
        <v>86221019063353600</v>
      </c>
      <c r="E424" s="8" t="n">
        <f aca="false">C424*Assumptions!$B$20</f>
        <v>362495239782400</v>
      </c>
    </row>
    <row r="425" customFormat="false" ht="15" hidden="false" customHeight="true" outlineLevel="0" collapsed="false">
      <c r="A425" s="3" t="n">
        <v>423</v>
      </c>
      <c r="B425" s="7" t="n">
        <f aca="false">Assumptions!$B$14*Assumptions!$B$15^A425</f>
        <v>772396629109209</v>
      </c>
      <c r="C425" s="7" t="n">
        <f aca="false">Assumptions!$B$16*A425*Assumptions!$B$18^INT(A425/Assumptions!$B$17)</f>
        <v>9083855831040</v>
      </c>
      <c r="D425" s="8" t="n">
        <f aca="false">B425*Assumptions!$B$21</f>
        <v>92687595493105100</v>
      </c>
      <c r="E425" s="8" t="n">
        <f aca="false">C425*Assumptions!$B$20</f>
        <v>363354233241600</v>
      </c>
    </row>
    <row r="426" customFormat="false" ht="15" hidden="false" customHeight="true" outlineLevel="0" collapsed="false">
      <c r="A426" s="3" t="n">
        <v>424</v>
      </c>
      <c r="B426" s="7" t="n">
        <f aca="false">Assumptions!$B$14*Assumptions!$B$15^A426</f>
        <v>830326376292400</v>
      </c>
      <c r="C426" s="7" t="n">
        <f aca="false">Assumptions!$B$16*A426*Assumptions!$B$18^INT(A426/Assumptions!$B$17)</f>
        <v>9105330667520</v>
      </c>
      <c r="D426" s="8" t="n">
        <f aca="false">B426*Assumptions!$B$21</f>
        <v>99639165155087900</v>
      </c>
      <c r="E426" s="8" t="n">
        <f aca="false">C426*Assumptions!$B$20</f>
        <v>364213226700800</v>
      </c>
    </row>
    <row r="427" customFormat="false" ht="15" hidden="false" customHeight="true" outlineLevel="0" collapsed="false">
      <c r="A427" s="3" t="n">
        <v>425</v>
      </c>
      <c r="B427" s="7" t="n">
        <f aca="false">Assumptions!$B$14*Assumptions!$B$15^A427</f>
        <v>892600854514329</v>
      </c>
      <c r="C427" s="7" t="n">
        <f aca="false">Assumptions!$B$16*A427*Assumptions!$B$18^INT(A427/Assumptions!$B$17)</f>
        <v>36507222016000</v>
      </c>
      <c r="D427" s="8" t="n">
        <f aca="false">B427*Assumptions!$B$21</f>
        <v>1.0711210254172E+017</v>
      </c>
      <c r="E427" s="8" t="n">
        <f aca="false">C427*Assumptions!$B$20</f>
        <v>1460288880640000</v>
      </c>
    </row>
    <row r="428" customFormat="false" ht="15" hidden="false" customHeight="true" outlineLevel="0" collapsed="false">
      <c r="A428" s="3" t="n">
        <v>426</v>
      </c>
      <c r="B428" s="7" t="n">
        <f aca="false">Assumptions!$B$14*Assumptions!$B$15^A428</f>
        <v>959545918602904</v>
      </c>
      <c r="C428" s="7" t="n">
        <f aca="false">Assumptions!$B$16*A428*Assumptions!$B$18^INT(A428/Assumptions!$B$17)</f>
        <v>36593121361920</v>
      </c>
      <c r="D428" s="8" t="n">
        <f aca="false">B428*Assumptions!$B$21</f>
        <v>1.15145510232348E+017</v>
      </c>
      <c r="E428" s="8" t="n">
        <f aca="false">C428*Assumptions!$B$20</f>
        <v>1463724854476800</v>
      </c>
    </row>
    <row r="429" customFormat="false" ht="15" hidden="false" customHeight="true" outlineLevel="0" collapsed="false">
      <c r="A429" s="3" t="n">
        <v>427</v>
      </c>
      <c r="B429" s="7" t="n">
        <f aca="false">Assumptions!$B$14*Assumptions!$B$15^A429</f>
        <v>1031511862498120</v>
      </c>
      <c r="C429" s="7" t="n">
        <f aca="false">Assumptions!$B$16*A429*Assumptions!$B$18^INT(A429/Assumptions!$B$17)</f>
        <v>36679020707840</v>
      </c>
      <c r="D429" s="8" t="n">
        <f aca="false">B429*Assumptions!$B$21</f>
        <v>1.23781423499775E+017</v>
      </c>
      <c r="E429" s="8" t="n">
        <f aca="false">C429*Assumptions!$B$20</f>
        <v>1467160828313600</v>
      </c>
    </row>
    <row r="430" customFormat="false" ht="15" hidden="false" customHeight="true" outlineLevel="0" collapsed="false">
      <c r="A430" s="3" t="n">
        <v>428</v>
      </c>
      <c r="B430" s="7" t="n">
        <f aca="false">Assumptions!$B$14*Assumptions!$B$15^A430</f>
        <v>1108875252185481</v>
      </c>
      <c r="C430" s="7" t="n">
        <f aca="false">Assumptions!$B$16*A430*Assumptions!$B$18^INT(A430/Assumptions!$B$17)</f>
        <v>36764920053760</v>
      </c>
      <c r="D430" s="8" t="n">
        <f aca="false">B430*Assumptions!$B$21</f>
        <v>1.33065030262258E+017</v>
      </c>
      <c r="E430" s="8" t="n">
        <f aca="false">C430*Assumptions!$B$20</f>
        <v>1470596802150400</v>
      </c>
    </row>
    <row r="431" customFormat="false" ht="15" hidden="false" customHeight="true" outlineLevel="0" collapsed="false">
      <c r="A431" s="3" t="n">
        <v>429</v>
      </c>
      <c r="B431" s="7" t="n">
        <f aca="false">Assumptions!$B$14*Assumptions!$B$15^A431</f>
        <v>1192040896099392</v>
      </c>
      <c r="C431" s="7" t="n">
        <f aca="false">Assumptions!$B$16*A431*Assumptions!$B$18^INT(A431/Assumptions!$B$17)</f>
        <v>36850819399680</v>
      </c>
      <c r="D431" s="8" t="n">
        <f aca="false">B431*Assumptions!$B$21</f>
        <v>1.43044907531927E+017</v>
      </c>
      <c r="E431" s="8" t="n">
        <f aca="false">C431*Assumptions!$B$20</f>
        <v>1474032775987200</v>
      </c>
    </row>
    <row r="432" customFormat="false" ht="15" hidden="false" customHeight="true" outlineLevel="0" collapsed="false">
      <c r="A432" s="3" t="n">
        <v>430</v>
      </c>
      <c r="B432" s="7" t="n">
        <f aca="false">Assumptions!$B$14*Assumptions!$B$15^A432</f>
        <v>1281443963306850</v>
      </c>
      <c r="C432" s="7" t="n">
        <f aca="false">Assumptions!$B$16*A432*Assumptions!$B$18^INT(A432/Assumptions!$B$17)</f>
        <v>36936718745600</v>
      </c>
      <c r="D432" s="8" t="n">
        <f aca="false">B432*Assumptions!$B$21</f>
        <v>1.53773275596822E+017</v>
      </c>
      <c r="E432" s="8" t="n">
        <f aca="false">C432*Assumptions!$B$20</f>
        <v>1477468749824000</v>
      </c>
    </row>
    <row r="433" customFormat="false" ht="15" hidden="false" customHeight="true" outlineLevel="0" collapsed="false">
      <c r="A433" s="3" t="n">
        <v>431</v>
      </c>
      <c r="B433" s="7" t="n">
        <f aca="false">Assumptions!$B$14*Assumptions!$B$15^A433</f>
        <v>1377552260554860</v>
      </c>
      <c r="C433" s="7" t="n">
        <f aca="false">Assumptions!$B$16*A433*Assumptions!$B$18^INT(A433/Assumptions!$B$17)</f>
        <v>37022618091520</v>
      </c>
      <c r="D433" s="8" t="n">
        <f aca="false">B433*Assumptions!$B$21</f>
        <v>1.65306271266583E+017</v>
      </c>
      <c r="E433" s="8" t="n">
        <f aca="false">C433*Assumptions!$B$20</f>
        <v>1480904723660800</v>
      </c>
    </row>
    <row r="434" customFormat="false" ht="15" hidden="false" customHeight="true" outlineLevel="0" collapsed="false">
      <c r="A434" s="3" t="n">
        <v>432</v>
      </c>
      <c r="B434" s="7" t="n">
        <f aca="false">Assumptions!$B$14*Assumptions!$B$15^A434</f>
        <v>1480868680096474</v>
      </c>
      <c r="C434" s="7" t="n">
        <f aca="false">Assumptions!$B$16*A434*Assumptions!$B$18^INT(A434/Assumptions!$B$17)</f>
        <v>37108517437440</v>
      </c>
      <c r="D434" s="8" t="n">
        <f aca="false">B434*Assumptions!$B$21</f>
        <v>1.77704241611577E+017</v>
      </c>
      <c r="E434" s="8" t="n">
        <f aca="false">C434*Assumptions!$B$20</f>
        <v>1484340697497600</v>
      </c>
    </row>
    <row r="435" customFormat="false" ht="15" hidden="false" customHeight="true" outlineLevel="0" collapsed="false">
      <c r="A435" s="3" t="n">
        <v>433</v>
      </c>
      <c r="B435" s="7" t="n">
        <f aca="false">Assumptions!$B$14*Assumptions!$B$15^A435</f>
        <v>1591933831103710</v>
      </c>
      <c r="C435" s="7" t="n">
        <f aca="false">Assumptions!$B$16*A435*Assumptions!$B$18^INT(A435/Assumptions!$B$17)</f>
        <v>37194416783360</v>
      </c>
      <c r="D435" s="8" t="n">
        <f aca="false">B435*Assumptions!$B$21</f>
        <v>1.91032059732445E+017</v>
      </c>
      <c r="E435" s="8" t="n">
        <f aca="false">C435*Assumptions!$B$20</f>
        <v>1487776671334400</v>
      </c>
    </row>
    <row r="436" customFormat="false" ht="15" hidden="false" customHeight="true" outlineLevel="0" collapsed="false">
      <c r="A436" s="3" t="n">
        <v>434</v>
      </c>
      <c r="B436" s="7" t="n">
        <f aca="false">Assumptions!$B$14*Assumptions!$B$15^A436</f>
        <v>1711328868436490</v>
      </c>
      <c r="C436" s="7" t="n">
        <f aca="false">Assumptions!$B$16*A436*Assumptions!$B$18^INT(A436/Assumptions!$B$17)</f>
        <v>37280316129280</v>
      </c>
      <c r="D436" s="8" t="n">
        <f aca="false">B436*Assumptions!$B$21</f>
        <v>2.05359464212379E+017</v>
      </c>
      <c r="E436" s="8" t="n">
        <f aca="false">C436*Assumptions!$B$20</f>
        <v>1491212645171200</v>
      </c>
    </row>
    <row r="437" customFormat="false" ht="15" hidden="false" customHeight="true" outlineLevel="0" collapsed="false">
      <c r="A437" s="3" t="n">
        <v>435</v>
      </c>
      <c r="B437" s="7" t="n">
        <f aca="false">Assumptions!$B$14*Assumptions!$B$15^A437</f>
        <v>1839678533569220</v>
      </c>
      <c r="C437" s="7" t="n">
        <f aca="false">Assumptions!$B$16*A437*Assumptions!$B$18^INT(A437/Assumptions!$B$17)</f>
        <v>37366215475200</v>
      </c>
      <c r="D437" s="8" t="n">
        <f aca="false">B437*Assumptions!$B$21</f>
        <v>2.20761424028307E+017</v>
      </c>
      <c r="E437" s="8" t="n">
        <f aca="false">C437*Assumptions!$B$20</f>
        <v>1494648619008000</v>
      </c>
    </row>
    <row r="438" customFormat="false" ht="15" hidden="false" customHeight="true" outlineLevel="0" collapsed="false">
      <c r="A438" s="3" t="n">
        <v>436</v>
      </c>
      <c r="B438" s="7" t="n">
        <f aca="false">Assumptions!$B$14*Assumptions!$B$15^A438</f>
        <v>1977654423586916</v>
      </c>
      <c r="C438" s="7" t="n">
        <f aca="false">Assumptions!$B$16*A438*Assumptions!$B$18^INT(A438/Assumptions!$B$17)</f>
        <v>37452114821120</v>
      </c>
      <c r="D438" s="8" t="n">
        <f aca="false">B438*Assumptions!$B$21</f>
        <v>2.3731853083043E+017</v>
      </c>
      <c r="E438" s="8" t="n">
        <f aca="false">C438*Assumptions!$B$20</f>
        <v>1498084592844800</v>
      </c>
    </row>
    <row r="439" customFormat="false" ht="15" hidden="false" customHeight="true" outlineLevel="0" collapsed="false">
      <c r="A439" s="3" t="n">
        <v>437</v>
      </c>
      <c r="B439" s="7" t="n">
        <f aca="false">Assumptions!$B$14*Assumptions!$B$15^A439</f>
        <v>2125978505355930</v>
      </c>
      <c r="C439" s="7" t="n">
        <f aca="false">Assumptions!$B$16*A439*Assumptions!$B$18^INT(A439/Assumptions!$B$17)</f>
        <v>37538014167040</v>
      </c>
      <c r="D439" s="8" t="n">
        <f aca="false">B439*Assumptions!$B$21</f>
        <v>2.55117420642712E+017</v>
      </c>
      <c r="E439" s="8" t="n">
        <f aca="false">C439*Assumptions!$B$20</f>
        <v>1501520566681600</v>
      </c>
    </row>
    <row r="440" customFormat="false" ht="15" hidden="false" customHeight="true" outlineLevel="0" collapsed="false">
      <c r="A440" s="3" t="n">
        <v>438</v>
      </c>
      <c r="B440" s="7" t="n">
        <f aca="false">Assumptions!$B$14*Assumptions!$B$15^A440</f>
        <v>2285426893257630</v>
      </c>
      <c r="C440" s="7" t="n">
        <f aca="false">Assumptions!$B$16*A440*Assumptions!$B$18^INT(A440/Assumptions!$B$17)</f>
        <v>37623913512960</v>
      </c>
      <c r="D440" s="8" t="n">
        <f aca="false">B440*Assumptions!$B$21</f>
        <v>2.74251227190916E+017</v>
      </c>
      <c r="E440" s="8" t="n">
        <f aca="false">C440*Assumptions!$B$20</f>
        <v>1504956540518400</v>
      </c>
    </row>
    <row r="441" customFormat="false" ht="15" hidden="false" customHeight="true" outlineLevel="0" collapsed="false">
      <c r="A441" s="3" t="n">
        <v>439</v>
      </c>
      <c r="B441" s="7" t="n">
        <f aca="false">Assumptions!$B$14*Assumptions!$B$15^A441</f>
        <v>2456833910251952</v>
      </c>
      <c r="C441" s="7" t="n">
        <f aca="false">Assumptions!$B$16*A441*Assumptions!$B$18^INT(A441/Assumptions!$B$17)</f>
        <v>37709812858880</v>
      </c>
      <c r="D441" s="8" t="n">
        <f aca="false">B441*Assumptions!$B$21</f>
        <v>2.94820069230234E+017</v>
      </c>
      <c r="E441" s="8" t="n">
        <f aca="false">C441*Assumptions!$B$20</f>
        <v>1508392514355200</v>
      </c>
    </row>
    <row r="442" customFormat="false" ht="15" hidden="false" customHeight="true" outlineLevel="0" collapsed="false">
      <c r="A442" s="3" t="n">
        <v>440</v>
      </c>
      <c r="B442" s="7" t="n">
        <f aca="false">Assumptions!$B$14*Assumptions!$B$15^A442</f>
        <v>2641096453520848</v>
      </c>
      <c r="C442" s="7" t="n">
        <f aca="false">Assumptions!$B$16*A442*Assumptions!$B$18^INT(A442/Assumptions!$B$17)</f>
        <v>37795712204800</v>
      </c>
      <c r="D442" s="8" t="n">
        <f aca="false">B442*Assumptions!$B$21</f>
        <v>3.16931574422502E+017</v>
      </c>
      <c r="E442" s="8" t="n">
        <f aca="false">C442*Assumptions!$B$20</f>
        <v>1511828488192000</v>
      </c>
    </row>
    <row r="443" customFormat="false" ht="15" hidden="false" customHeight="true" outlineLevel="0" collapsed="false">
      <c r="A443" s="3" t="n">
        <v>441</v>
      </c>
      <c r="B443" s="7" t="n">
        <f aca="false">Assumptions!$B$14*Assumptions!$B$15^A443</f>
        <v>2839178687534912</v>
      </c>
      <c r="C443" s="7" t="n">
        <f aca="false">Assumptions!$B$16*A443*Assumptions!$B$18^INT(A443/Assumptions!$B$17)</f>
        <v>37881611550720</v>
      </c>
      <c r="D443" s="8" t="n">
        <f aca="false">B443*Assumptions!$B$21</f>
        <v>3.40701442504189E+017</v>
      </c>
      <c r="E443" s="8" t="n">
        <f aca="false">C443*Assumptions!$B$20</f>
        <v>1515264462028800</v>
      </c>
    </row>
    <row r="444" customFormat="false" ht="15" hidden="false" customHeight="true" outlineLevel="0" collapsed="false">
      <c r="A444" s="3" t="n">
        <v>442</v>
      </c>
      <c r="B444" s="7" t="n">
        <f aca="false">Assumptions!$B$14*Assumptions!$B$15^A444</f>
        <v>3052117089100030</v>
      </c>
      <c r="C444" s="7" t="n">
        <f aca="false">Assumptions!$B$16*A444*Assumptions!$B$18^INT(A444/Assumptions!$B$17)</f>
        <v>37967510896640</v>
      </c>
      <c r="D444" s="8" t="n">
        <f aca="false">B444*Assumptions!$B$21</f>
        <v>3.66254050692004E+017</v>
      </c>
      <c r="E444" s="8" t="n">
        <f aca="false">C444*Assumptions!$B$20</f>
        <v>1518700435865600</v>
      </c>
    </row>
    <row r="445" customFormat="false" ht="15" hidden="false" customHeight="true" outlineLevel="0" collapsed="false">
      <c r="A445" s="3" t="n">
        <v>443</v>
      </c>
      <c r="B445" s="7" t="n">
        <f aca="false">Assumptions!$B$14*Assumptions!$B$15^A445</f>
        <v>3281025870782532</v>
      </c>
      <c r="C445" s="7" t="n">
        <f aca="false">Assumptions!$B$16*A445*Assumptions!$B$18^INT(A445/Assumptions!$B$17)</f>
        <v>38053410242560</v>
      </c>
      <c r="D445" s="8" t="n">
        <f aca="false">B445*Assumptions!$B$21</f>
        <v>3.93723104493904E+017</v>
      </c>
      <c r="E445" s="8" t="n">
        <f aca="false">C445*Assumptions!$B$20</f>
        <v>1522136409702400</v>
      </c>
    </row>
    <row r="446" customFormat="false" ht="15" hidden="false" customHeight="true" outlineLevel="0" collapsed="false">
      <c r="A446" s="3" t="n">
        <v>444</v>
      </c>
      <c r="B446" s="7" t="n">
        <f aca="false">Assumptions!$B$14*Assumptions!$B$15^A446</f>
        <v>3527102811091222</v>
      </c>
      <c r="C446" s="7" t="n">
        <f aca="false">Assumptions!$B$16*A446*Assumptions!$B$18^INT(A446/Assumptions!$B$17)</f>
        <v>38139309588480</v>
      </c>
      <c r="D446" s="8" t="n">
        <f aca="false">B446*Assumptions!$B$21</f>
        <v>4.23252337330947E+017</v>
      </c>
      <c r="E446" s="8" t="n">
        <f aca="false">C446*Assumptions!$B$20</f>
        <v>1525572383539200</v>
      </c>
    </row>
    <row r="447" customFormat="false" ht="15" hidden="false" customHeight="true" outlineLevel="0" collapsed="false">
      <c r="A447" s="3" t="n">
        <v>445</v>
      </c>
      <c r="B447" s="7" t="n">
        <f aca="false">Assumptions!$B$14*Assumptions!$B$15^A447</f>
        <v>3791635521923063</v>
      </c>
      <c r="C447" s="7" t="n">
        <f aca="false">Assumptions!$B$16*A447*Assumptions!$B$18^INT(A447/Assumptions!$B$17)</f>
        <v>38225208934400</v>
      </c>
      <c r="D447" s="8" t="n">
        <f aca="false">B447*Assumptions!$B$21</f>
        <v>4.54996262630768E+017</v>
      </c>
      <c r="E447" s="8" t="n">
        <f aca="false">C447*Assumptions!$B$20</f>
        <v>1529008357376000</v>
      </c>
    </row>
    <row r="448" customFormat="false" ht="15" hidden="false" customHeight="true" outlineLevel="0" collapsed="false">
      <c r="A448" s="3" t="n">
        <v>446</v>
      </c>
      <c r="B448" s="7" t="n">
        <f aca="false">Assumptions!$B$14*Assumptions!$B$15^A448</f>
        <v>4076008186067290</v>
      </c>
      <c r="C448" s="7" t="n">
        <f aca="false">Assumptions!$B$16*A448*Assumptions!$B$18^INT(A448/Assumptions!$B$17)</f>
        <v>38311108280320</v>
      </c>
      <c r="D448" s="8" t="n">
        <f aca="false">B448*Assumptions!$B$21</f>
        <v>4.89120982328075E+017</v>
      </c>
      <c r="E448" s="8" t="n">
        <f aca="false">C448*Assumptions!$B$20</f>
        <v>1532444331212800</v>
      </c>
    </row>
    <row r="449" customFormat="false" ht="15" hidden="false" customHeight="true" outlineLevel="0" collapsed="false">
      <c r="A449" s="3" t="n">
        <v>447</v>
      </c>
      <c r="B449" s="7" t="n">
        <f aca="false">Assumptions!$B$14*Assumptions!$B$15^A449</f>
        <v>4381708800022340</v>
      </c>
      <c r="C449" s="7" t="n">
        <f aca="false">Assumptions!$B$16*A449*Assumptions!$B$18^INT(A449/Assumptions!$B$17)</f>
        <v>38397007626240</v>
      </c>
      <c r="D449" s="8" t="n">
        <f aca="false">B449*Assumptions!$B$21</f>
        <v>5.25805056002681E+017</v>
      </c>
      <c r="E449" s="8" t="n">
        <f aca="false">C449*Assumptions!$B$20</f>
        <v>1535880305049600</v>
      </c>
    </row>
    <row r="450" customFormat="false" ht="15" hidden="false" customHeight="true" outlineLevel="0" collapsed="false">
      <c r="A450" s="3" t="n">
        <v>448</v>
      </c>
      <c r="B450" s="7" t="n">
        <f aca="false">Assumptions!$B$14*Assumptions!$B$15^A450</f>
        <v>4710336960024015</v>
      </c>
      <c r="C450" s="7" t="n">
        <f aca="false">Assumptions!$B$16*A450*Assumptions!$B$18^INT(A450/Assumptions!$B$17)</f>
        <v>38482906972160</v>
      </c>
      <c r="D450" s="8" t="n">
        <f aca="false">B450*Assumptions!$B$21</f>
        <v>5.65240435202882E+017</v>
      </c>
      <c r="E450" s="8" t="n">
        <f aca="false">C450*Assumptions!$B$20</f>
        <v>1539316278886400</v>
      </c>
    </row>
    <row r="451" customFormat="false" ht="15" hidden="false" customHeight="true" outlineLevel="0" collapsed="false">
      <c r="A451" s="3" t="n">
        <v>449</v>
      </c>
      <c r="B451" s="7" t="n">
        <f aca="false">Assumptions!$B$14*Assumptions!$B$15^A451</f>
        <v>5063612232025816</v>
      </c>
      <c r="C451" s="7" t="n">
        <f aca="false">Assumptions!$B$16*A451*Assumptions!$B$18^INT(A451/Assumptions!$B$17)</f>
        <v>38568806318080</v>
      </c>
      <c r="D451" s="8" t="n">
        <f aca="false">B451*Assumptions!$B$21</f>
        <v>6.07633467843098E+017</v>
      </c>
      <c r="E451" s="8" t="n">
        <f aca="false">C451*Assumptions!$B$20</f>
        <v>1542752252723200</v>
      </c>
    </row>
    <row r="452" customFormat="false" ht="15" hidden="false" customHeight="true" outlineLevel="0" collapsed="false">
      <c r="A452" s="3" t="n">
        <v>450</v>
      </c>
      <c r="B452" s="7" t="n">
        <f aca="false">Assumptions!$B$14*Assumptions!$B$15^A452</f>
        <v>5443383149427752</v>
      </c>
      <c r="C452" s="7" t="n">
        <f aca="false">Assumptions!$B$16*A452*Assumptions!$B$18^INT(A452/Assumptions!$B$17)</f>
        <v>154618822656000</v>
      </c>
      <c r="D452" s="8" t="n">
        <f aca="false">B452*Assumptions!$B$21</f>
        <v>6.5320597793133E+017</v>
      </c>
      <c r="E452" s="8" t="n">
        <f aca="false">C452*Assumptions!$B$20</f>
        <v>6184752906240000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4"/>
    <col collapsed="false" customWidth="true" hidden="false" outlineLevel="0" max="5" min="4" style="1" width="10"/>
    <col collapsed="false" customWidth="true" hidden="false" outlineLevel="0" max="6" min="6" style="1" width="14"/>
  </cols>
  <sheetData>
    <row r="1" customFormat="false" ht="15" hidden="false" customHeight="true" outlineLevel="0" collapsed="false">
      <c r="A1" s="2" t="s">
        <v>60</v>
      </c>
    </row>
    <row r="2" customFormat="false" ht="15" hidden="false" customHeight="true" outlineLevel="0" collapsed="false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</row>
    <row r="3" customFormat="false" ht="15" hidden="false" customHeight="true" outlineLevel="0" collapsed="false">
      <c r="A3" s="3" t="n">
        <v>0</v>
      </c>
      <c r="B3" s="3" t="n">
        <v>2</v>
      </c>
      <c r="C3" s="3" t="n">
        <v>1</v>
      </c>
      <c r="D3" s="3" t="n">
        <v>1</v>
      </c>
      <c r="E3" s="3" t="n">
        <v>0</v>
      </c>
      <c r="F3" s="9" t="n">
        <v>6</v>
      </c>
    </row>
    <row r="4" customFormat="false" ht="15" hidden="false" customHeight="true" outlineLevel="0" collapsed="false">
      <c r="A4" s="3" t="n">
        <v>0.25</v>
      </c>
      <c r="B4" s="3" t="n">
        <v>10</v>
      </c>
      <c r="C4" s="3" t="n">
        <v>1</v>
      </c>
      <c r="D4" s="3" t="n">
        <v>13</v>
      </c>
      <c r="E4" s="3" t="n">
        <v>0</v>
      </c>
      <c r="F4" s="9" t="n">
        <v>6.36317379994215</v>
      </c>
    </row>
    <row r="5" customFormat="false" ht="15" hidden="false" customHeight="true" outlineLevel="0" collapsed="false">
      <c r="A5" s="3" t="n">
        <v>0.5</v>
      </c>
      <c r="B5" s="3" t="n">
        <v>15</v>
      </c>
      <c r="C5" s="3" t="n">
        <v>1</v>
      </c>
      <c r="D5" s="3" t="n">
        <v>42</v>
      </c>
      <c r="E5" s="3" t="n">
        <v>0</v>
      </c>
      <c r="F5" s="9" t="n">
        <v>570.972435232528</v>
      </c>
    </row>
    <row r="6" customFormat="false" ht="15" hidden="false" customHeight="true" outlineLevel="0" collapsed="false">
      <c r="A6" s="3" t="n">
        <v>0.75</v>
      </c>
      <c r="B6" s="3" t="n">
        <v>23</v>
      </c>
      <c r="C6" s="3" t="n">
        <v>1</v>
      </c>
      <c r="D6" s="3" t="n">
        <v>82</v>
      </c>
      <c r="E6" s="3" t="n">
        <v>0</v>
      </c>
      <c r="F6" s="9" t="n">
        <v>7928.94431776847</v>
      </c>
    </row>
    <row r="7" customFormat="false" ht="15" hidden="false" customHeight="true" outlineLevel="0" collapsed="false">
      <c r="A7" s="3" t="n">
        <v>1</v>
      </c>
      <c r="B7" s="3" t="n">
        <v>30</v>
      </c>
      <c r="C7" s="3" t="n">
        <v>24</v>
      </c>
      <c r="D7" s="3" t="n">
        <v>109</v>
      </c>
      <c r="E7" s="3" t="n">
        <v>43</v>
      </c>
      <c r="F7" s="9" t="n">
        <v>55487.0267763053</v>
      </c>
    </row>
    <row r="8" customFormat="false" ht="15" hidden="false" customHeight="true" outlineLevel="0" collapsed="false">
      <c r="A8" s="3" t="n">
        <v>1.25</v>
      </c>
      <c r="B8" s="3" t="n">
        <v>30</v>
      </c>
      <c r="C8" s="3" t="n">
        <v>30</v>
      </c>
      <c r="D8" s="3" t="n">
        <v>134</v>
      </c>
      <c r="E8" s="3" t="n">
        <v>68</v>
      </c>
      <c r="F8" s="9" t="n">
        <v>284481.171302263</v>
      </c>
    </row>
    <row r="9" customFormat="false" ht="15" hidden="false" customHeight="true" outlineLevel="0" collapsed="false">
      <c r="A9" s="3" t="n">
        <v>1.5</v>
      </c>
      <c r="B9" s="3" t="n">
        <v>35</v>
      </c>
      <c r="C9" s="3" t="n">
        <v>35</v>
      </c>
      <c r="D9" s="3" t="n">
        <v>156</v>
      </c>
      <c r="E9" s="3" t="n">
        <v>89</v>
      </c>
      <c r="F9" s="9" t="n">
        <v>586994.202229337</v>
      </c>
    </row>
    <row r="10" customFormat="false" ht="15" hidden="false" customHeight="true" outlineLevel="0" collapsed="false">
      <c r="A10" s="3" t="n">
        <v>1.75</v>
      </c>
      <c r="B10" s="3" t="n">
        <v>35</v>
      </c>
      <c r="C10" s="3" t="n">
        <v>35</v>
      </c>
      <c r="D10" s="3" t="n">
        <v>173</v>
      </c>
      <c r="E10" s="3" t="n">
        <v>106</v>
      </c>
      <c r="F10" s="9" t="n">
        <v>4904098.11513638</v>
      </c>
    </row>
    <row r="11" customFormat="false" ht="15" hidden="false" customHeight="true" outlineLevel="0" collapsed="false">
      <c r="A11" s="3" t="n">
        <v>2</v>
      </c>
      <c r="B11" s="3" t="n">
        <v>40</v>
      </c>
      <c r="C11" s="3" t="n">
        <v>35</v>
      </c>
      <c r="D11" s="3" t="n">
        <v>189</v>
      </c>
      <c r="E11" s="3" t="n">
        <v>123</v>
      </c>
      <c r="F11" s="9" t="n">
        <v>5819613.95596437</v>
      </c>
    </row>
    <row r="12" customFormat="false" ht="15" hidden="false" customHeight="true" outlineLevel="0" collapsed="false">
      <c r="A12" s="3" t="n">
        <v>2.25</v>
      </c>
      <c r="B12" s="3" t="n">
        <v>40</v>
      </c>
      <c r="C12" s="3" t="n">
        <v>40</v>
      </c>
      <c r="D12" s="3" t="n">
        <v>202</v>
      </c>
      <c r="E12" s="3" t="n">
        <v>136</v>
      </c>
      <c r="F12" s="9" t="n">
        <v>74687668.3174986</v>
      </c>
    </row>
    <row r="13" customFormat="false" ht="15" hidden="false" customHeight="true" outlineLevel="0" collapsed="false">
      <c r="A13" s="3" t="n">
        <v>2.5</v>
      </c>
      <c r="B13" s="3" t="n">
        <v>40</v>
      </c>
      <c r="C13" s="3" t="n">
        <v>40</v>
      </c>
      <c r="D13" s="3" t="n">
        <v>214</v>
      </c>
      <c r="E13" s="3" t="n">
        <v>148</v>
      </c>
      <c r="F13" s="9" t="n">
        <v>59992470.9629257</v>
      </c>
    </row>
    <row r="14" customFormat="false" ht="15" hidden="false" customHeight="true" outlineLevel="0" collapsed="false">
      <c r="A14" s="3" t="n">
        <v>2.75</v>
      </c>
      <c r="B14" s="3" t="n">
        <v>45</v>
      </c>
      <c r="C14" s="3" t="n">
        <v>45</v>
      </c>
      <c r="D14" s="3" t="n">
        <v>224</v>
      </c>
      <c r="E14" s="3" t="n">
        <v>157</v>
      </c>
      <c r="F14" s="9" t="n">
        <v>244154070.21806</v>
      </c>
    </row>
    <row r="15" customFormat="false" ht="15" hidden="false" customHeight="true" outlineLevel="0" collapsed="false">
      <c r="A15" s="3" t="n">
        <v>3</v>
      </c>
      <c r="B15" s="3" t="n">
        <v>45</v>
      </c>
      <c r="C15" s="3" t="n">
        <v>45</v>
      </c>
      <c r="D15" s="3" t="n">
        <v>235</v>
      </c>
      <c r="E15" s="3" t="n">
        <v>168</v>
      </c>
      <c r="F15" s="9" t="n">
        <v>383558217.214968</v>
      </c>
    </row>
    <row r="16" customFormat="false" ht="15" hidden="false" customHeight="true" outlineLevel="0" collapsed="false">
      <c r="A16" s="3" t="n">
        <v>3.25</v>
      </c>
      <c r="B16" s="3" t="n">
        <v>45</v>
      </c>
      <c r="C16" s="3" t="n">
        <v>45</v>
      </c>
      <c r="D16" s="3" t="n">
        <v>241</v>
      </c>
      <c r="E16" s="3" t="n">
        <v>175</v>
      </c>
      <c r="F16" s="9" t="n">
        <v>1130615640.75913</v>
      </c>
    </row>
    <row r="17" customFormat="false" ht="15" hidden="false" customHeight="true" outlineLevel="0" collapsed="false">
      <c r="A17" s="3" t="n">
        <v>3.5</v>
      </c>
      <c r="B17" s="3" t="n">
        <v>45</v>
      </c>
      <c r="C17" s="3" t="n">
        <v>45</v>
      </c>
      <c r="D17" s="3" t="n">
        <v>249</v>
      </c>
      <c r="E17" s="3" t="n">
        <v>183</v>
      </c>
      <c r="F17" s="9" t="n">
        <v>238153957.638626</v>
      </c>
    </row>
    <row r="18" customFormat="false" ht="15" hidden="false" customHeight="true" outlineLevel="0" collapsed="false">
      <c r="A18" s="3" t="n">
        <v>3.75</v>
      </c>
      <c r="B18" s="3" t="n">
        <v>50</v>
      </c>
      <c r="C18" s="3" t="n">
        <v>45</v>
      </c>
      <c r="D18" s="3" t="n">
        <v>258</v>
      </c>
      <c r="E18" s="3" t="n">
        <v>191</v>
      </c>
      <c r="F18" s="9" t="n">
        <v>1616927462.00946</v>
      </c>
    </row>
    <row r="19" customFormat="false" ht="15" hidden="false" customHeight="true" outlineLevel="0" collapsed="false">
      <c r="A19" s="3" t="n">
        <v>4</v>
      </c>
      <c r="B19" s="3" t="n">
        <v>50</v>
      </c>
      <c r="C19" s="3" t="n">
        <v>50</v>
      </c>
      <c r="D19" s="3" t="n">
        <v>263</v>
      </c>
      <c r="E19" s="3" t="n">
        <v>197</v>
      </c>
      <c r="F19" s="9" t="n">
        <v>4698836576.43464</v>
      </c>
    </row>
    <row r="20" customFormat="false" ht="15" hidden="false" customHeight="true" outlineLevel="0" collapsed="false">
      <c r="A20" s="3" t="n">
        <v>4.25</v>
      </c>
      <c r="B20" s="3" t="n">
        <v>50</v>
      </c>
      <c r="C20" s="3" t="n">
        <v>50</v>
      </c>
      <c r="D20" s="3" t="n">
        <v>269</v>
      </c>
      <c r="E20" s="3" t="n">
        <v>202</v>
      </c>
      <c r="F20" s="9" t="n">
        <v>1457899333.40297</v>
      </c>
    </row>
    <row r="21" customFormat="false" ht="15" hidden="false" customHeight="true" outlineLevel="0" collapsed="false">
      <c r="A21" s="3" t="n">
        <v>4.5</v>
      </c>
      <c r="B21" s="3" t="n">
        <v>50</v>
      </c>
      <c r="C21" s="3" t="n">
        <v>50</v>
      </c>
      <c r="D21" s="3" t="n">
        <v>274</v>
      </c>
      <c r="E21" s="3" t="n">
        <v>207</v>
      </c>
      <c r="F21" s="9" t="n">
        <v>12804517574.3009</v>
      </c>
    </row>
    <row r="22" customFormat="false" ht="15" hidden="false" customHeight="true" outlineLevel="0" collapsed="false">
      <c r="A22" s="3" t="n">
        <v>4.75</v>
      </c>
      <c r="B22" s="3" t="n">
        <v>55</v>
      </c>
      <c r="C22" s="3" t="n">
        <v>50</v>
      </c>
      <c r="D22" s="3" t="n">
        <v>280</v>
      </c>
      <c r="E22" s="3" t="n">
        <v>214</v>
      </c>
      <c r="F22" s="9" t="n">
        <v>25823989145.4442</v>
      </c>
    </row>
    <row r="23" customFormat="false" ht="15" hidden="false" customHeight="true" outlineLevel="0" collapsed="false">
      <c r="A23" s="3" t="n">
        <v>5</v>
      </c>
      <c r="B23" s="3" t="n">
        <v>55</v>
      </c>
      <c r="C23" s="3" t="n">
        <v>50</v>
      </c>
      <c r="D23" s="3" t="n">
        <v>285</v>
      </c>
      <c r="E23" s="3" t="n">
        <v>219</v>
      </c>
      <c r="F23" s="9" t="n">
        <v>28236165975.7015</v>
      </c>
    </row>
    <row r="24" customFormat="false" ht="15" hidden="false" customHeight="true" outlineLevel="0" collapsed="false">
      <c r="A24" s="3" t="n">
        <v>5.25</v>
      </c>
      <c r="B24" s="3" t="n">
        <v>55</v>
      </c>
      <c r="C24" s="3" t="n">
        <v>50</v>
      </c>
      <c r="D24" s="3" t="n">
        <v>289</v>
      </c>
      <c r="E24" s="3" t="n">
        <v>223</v>
      </c>
      <c r="F24" s="9" t="n">
        <v>2792194245.26841</v>
      </c>
    </row>
    <row r="25" customFormat="false" ht="15" hidden="false" customHeight="true" outlineLevel="0" collapsed="false">
      <c r="A25" s="3" t="n">
        <v>5.5</v>
      </c>
      <c r="B25" s="3" t="n">
        <v>55</v>
      </c>
      <c r="C25" s="3" t="n">
        <v>55</v>
      </c>
      <c r="D25" s="3" t="n">
        <v>293</v>
      </c>
      <c r="E25" s="3" t="n">
        <v>226</v>
      </c>
      <c r="F25" s="9" t="n">
        <v>36356785898.2017</v>
      </c>
    </row>
    <row r="26" customFormat="false" ht="15" hidden="false" customHeight="true" outlineLevel="0" collapsed="false">
      <c r="A26" s="3" t="n">
        <v>5.75</v>
      </c>
      <c r="B26" s="3" t="n">
        <v>55</v>
      </c>
      <c r="C26" s="3" t="n">
        <v>55</v>
      </c>
      <c r="D26" s="3" t="n">
        <v>297</v>
      </c>
      <c r="E26" s="3" t="n">
        <v>231</v>
      </c>
      <c r="F26" s="9" t="n">
        <v>7605715393.06584</v>
      </c>
    </row>
    <row r="27" customFormat="false" ht="15" hidden="false" customHeight="true" outlineLevel="0" collapsed="false">
      <c r="A27" s="3" t="n">
        <v>6</v>
      </c>
      <c r="B27" s="3" t="n">
        <v>55</v>
      </c>
      <c r="C27" s="3" t="n">
        <v>55</v>
      </c>
      <c r="D27" s="3" t="n">
        <v>301</v>
      </c>
      <c r="E27" s="3" t="n">
        <v>235</v>
      </c>
      <c r="F27" s="9" t="n">
        <v>27864179579.9105</v>
      </c>
    </row>
    <row r="28" customFormat="false" ht="15" hidden="false" customHeight="true" outlineLevel="0" collapsed="false">
      <c r="A28" s="3" t="n">
        <v>6.25</v>
      </c>
      <c r="B28" s="3" t="n">
        <v>55</v>
      </c>
      <c r="C28" s="3" t="n">
        <v>55</v>
      </c>
      <c r="D28" s="3" t="n">
        <v>306</v>
      </c>
      <c r="E28" s="3" t="n">
        <v>239</v>
      </c>
      <c r="F28" s="9" t="n">
        <v>126746319135.089</v>
      </c>
    </row>
    <row r="29" customFormat="false" ht="15" hidden="false" customHeight="true" outlineLevel="0" collapsed="false">
      <c r="A29" s="3" t="n">
        <v>6.5</v>
      </c>
      <c r="B29" s="3" t="n">
        <v>55</v>
      </c>
      <c r="C29" s="3" t="n">
        <v>55</v>
      </c>
      <c r="D29" s="3" t="n">
        <v>309</v>
      </c>
      <c r="E29" s="3" t="n">
        <v>243</v>
      </c>
      <c r="F29" s="9" t="n">
        <v>202891576553.355</v>
      </c>
    </row>
    <row r="30" customFormat="false" ht="15" hidden="false" customHeight="true" outlineLevel="0" collapsed="false">
      <c r="A30" s="3" t="n">
        <v>6.75</v>
      </c>
      <c r="B30" s="3" t="n">
        <v>55</v>
      </c>
      <c r="C30" s="3" t="n">
        <v>55</v>
      </c>
      <c r="D30" s="3" t="n">
        <v>312</v>
      </c>
      <c r="E30" s="3" t="n">
        <v>246</v>
      </c>
      <c r="F30" s="9" t="n">
        <v>183545617211.912</v>
      </c>
    </row>
    <row r="31" customFormat="false" ht="15" hidden="false" customHeight="true" outlineLevel="0" collapsed="false">
      <c r="A31" s="3" t="n">
        <v>7</v>
      </c>
      <c r="B31" s="3" t="n">
        <v>55</v>
      </c>
      <c r="C31" s="3" t="n">
        <v>55</v>
      </c>
      <c r="D31" s="3" t="n">
        <v>315</v>
      </c>
      <c r="E31" s="3" t="n">
        <v>248</v>
      </c>
      <c r="F31" s="9" t="n">
        <v>151005350281.166</v>
      </c>
    </row>
    <row r="32" customFormat="false" ht="15" hidden="false" customHeight="true" outlineLevel="0" collapsed="false">
      <c r="A32" s="3" t="n">
        <v>7.25</v>
      </c>
      <c r="B32" s="3" t="n">
        <v>55</v>
      </c>
      <c r="C32" s="3" t="n">
        <v>59</v>
      </c>
      <c r="D32" s="3" t="n">
        <v>318</v>
      </c>
      <c r="E32" s="3" t="n">
        <v>251</v>
      </c>
      <c r="F32" s="9" t="n">
        <v>29016269301.437</v>
      </c>
    </row>
    <row r="33" customFormat="false" ht="15" hidden="false" customHeight="true" outlineLevel="0" collapsed="false">
      <c r="A33" s="3" t="n">
        <v>7.5</v>
      </c>
      <c r="B33" s="3" t="n">
        <v>55</v>
      </c>
      <c r="C33" s="3" t="n">
        <v>60</v>
      </c>
      <c r="D33" s="3" t="n">
        <v>321</v>
      </c>
      <c r="E33" s="3" t="n">
        <v>254</v>
      </c>
      <c r="F33" s="9" t="n">
        <v>274608927462.982</v>
      </c>
    </row>
    <row r="34" customFormat="false" ht="15" hidden="false" customHeight="true" outlineLevel="0" collapsed="false">
      <c r="A34" s="3" t="n">
        <v>7.75</v>
      </c>
      <c r="B34" s="3" t="n">
        <v>55</v>
      </c>
      <c r="C34" s="3" t="n">
        <v>60</v>
      </c>
      <c r="D34" s="3" t="n">
        <v>323</v>
      </c>
      <c r="E34" s="3" t="n">
        <v>257</v>
      </c>
      <c r="F34" s="9" t="n">
        <v>515323084572.333</v>
      </c>
    </row>
    <row r="35" customFormat="false" ht="15" hidden="false" customHeight="true" outlineLevel="0" collapsed="false">
      <c r="A35" s="3" t="n">
        <v>8</v>
      </c>
      <c r="B35" s="3" t="n">
        <v>60</v>
      </c>
      <c r="C35" s="3" t="n">
        <v>60</v>
      </c>
      <c r="D35" s="3" t="n">
        <v>327</v>
      </c>
      <c r="E35" s="3" t="n">
        <v>260</v>
      </c>
      <c r="F35" s="9" t="n">
        <v>366962690968.536</v>
      </c>
    </row>
    <row r="36" customFormat="false" ht="15" hidden="false" customHeight="true" outlineLevel="0" collapsed="false">
      <c r="A36" s="3" t="n">
        <v>8.25</v>
      </c>
      <c r="B36" s="3" t="n">
        <v>60</v>
      </c>
      <c r="C36" s="3" t="n">
        <v>60</v>
      </c>
      <c r="D36" s="3" t="n">
        <v>330</v>
      </c>
      <c r="E36" s="3" t="n">
        <v>264</v>
      </c>
      <c r="F36" s="9" t="n">
        <v>338263239645.236</v>
      </c>
    </row>
    <row r="37" customFormat="false" ht="15" hidden="false" customHeight="true" outlineLevel="0" collapsed="false">
      <c r="A37" s="3" t="n">
        <v>8.5</v>
      </c>
      <c r="B37" s="3" t="n">
        <v>60</v>
      </c>
      <c r="C37" s="3" t="n">
        <v>60</v>
      </c>
      <c r="D37" s="3" t="n">
        <v>333</v>
      </c>
      <c r="E37" s="3" t="n">
        <v>266</v>
      </c>
      <c r="F37" s="9" t="n">
        <v>1030133239017.78</v>
      </c>
    </row>
    <row r="38" customFormat="false" ht="15" hidden="false" customHeight="true" outlineLevel="0" collapsed="false">
      <c r="A38" s="3" t="n">
        <v>8.75</v>
      </c>
      <c r="B38" s="3" t="n">
        <v>60</v>
      </c>
      <c r="C38" s="3" t="n">
        <v>60</v>
      </c>
      <c r="D38" s="3" t="n">
        <v>335</v>
      </c>
      <c r="E38" s="3" t="n">
        <v>269</v>
      </c>
      <c r="F38" s="9" t="n">
        <v>746630312904.892</v>
      </c>
    </row>
    <row r="39" customFormat="false" ht="15" hidden="false" customHeight="true" outlineLevel="0" collapsed="false">
      <c r="A39" s="3" t="n">
        <v>9</v>
      </c>
      <c r="B39" s="3" t="n">
        <v>60</v>
      </c>
      <c r="C39" s="3" t="n">
        <v>60</v>
      </c>
      <c r="D39" s="3" t="n">
        <v>337</v>
      </c>
      <c r="E39" s="3" t="n">
        <v>271</v>
      </c>
      <c r="F39" s="9" t="n">
        <v>867983287909.129</v>
      </c>
    </row>
    <row r="40" customFormat="false" ht="15" hidden="false" customHeight="true" outlineLevel="0" collapsed="false">
      <c r="A40" s="3" t="n">
        <v>9.25</v>
      </c>
      <c r="B40" s="3" t="n">
        <v>60</v>
      </c>
      <c r="C40" s="3" t="n">
        <v>60</v>
      </c>
      <c r="D40" s="3" t="n">
        <v>339</v>
      </c>
      <c r="E40" s="3" t="n">
        <v>273</v>
      </c>
      <c r="F40" s="9" t="n">
        <v>96127769262.4807</v>
      </c>
    </row>
    <row r="41" customFormat="false" ht="15" hidden="false" customHeight="true" outlineLevel="0" collapsed="false">
      <c r="A41" s="3" t="n">
        <v>9.5</v>
      </c>
      <c r="B41" s="3" t="n">
        <v>60</v>
      </c>
      <c r="C41" s="3" t="n">
        <v>60</v>
      </c>
      <c r="D41" s="3" t="n">
        <v>341</v>
      </c>
      <c r="E41" s="3" t="n">
        <v>274</v>
      </c>
      <c r="F41" s="9" t="n">
        <v>364302461848.364</v>
      </c>
    </row>
    <row r="42" customFormat="false" ht="15" hidden="false" customHeight="true" outlineLevel="0" collapsed="false">
      <c r="A42" s="3" t="n">
        <v>9.75</v>
      </c>
      <c r="B42" s="3" t="n">
        <v>60</v>
      </c>
      <c r="C42" s="3" t="n">
        <v>60</v>
      </c>
      <c r="D42" s="3" t="n">
        <v>343</v>
      </c>
      <c r="E42" s="3" t="n">
        <v>276</v>
      </c>
      <c r="F42" s="9" t="n">
        <v>2035407779300.09</v>
      </c>
    </row>
    <row r="43" customFormat="false" ht="15" hidden="false" customHeight="true" outlineLevel="0" collapsed="false">
      <c r="A43" s="3" t="n">
        <v>10</v>
      </c>
      <c r="B43" s="3" t="n">
        <v>60</v>
      </c>
      <c r="C43" s="3" t="n">
        <v>60</v>
      </c>
      <c r="D43" s="3" t="n">
        <v>345</v>
      </c>
      <c r="E43" s="3" t="n">
        <v>279</v>
      </c>
      <c r="F43" s="9" t="n">
        <v>1508700766998.03</v>
      </c>
    </row>
    <row r="44" customFormat="false" ht="15" hidden="false" customHeight="true" outlineLevel="0" collapsed="false">
      <c r="A44" s="3" t="n">
        <v>10.25</v>
      </c>
      <c r="B44" s="3" t="n">
        <v>60</v>
      </c>
      <c r="C44" s="3" t="n">
        <v>60</v>
      </c>
      <c r="D44" s="3" t="n">
        <v>347</v>
      </c>
      <c r="E44" s="3" t="n">
        <v>281</v>
      </c>
      <c r="F44" s="9" t="n">
        <v>1821191853045.15</v>
      </c>
    </row>
    <row r="45" customFormat="false" ht="15" hidden="false" customHeight="true" outlineLevel="0" collapsed="false">
      <c r="A45" s="3" t="n">
        <v>10.5</v>
      </c>
      <c r="B45" s="3" t="n">
        <v>60</v>
      </c>
      <c r="C45" s="3" t="n">
        <v>60</v>
      </c>
      <c r="D45" s="3" t="n">
        <v>349</v>
      </c>
      <c r="E45" s="3" t="n">
        <v>283</v>
      </c>
      <c r="F45" s="9" t="n">
        <v>295329165070.042</v>
      </c>
    </row>
    <row r="46" customFormat="false" ht="15" hidden="false" customHeight="true" outlineLevel="0" collapsed="false">
      <c r="A46" s="3" t="n">
        <v>10.75</v>
      </c>
      <c r="B46" s="3" t="n">
        <v>65</v>
      </c>
      <c r="C46" s="3" t="n">
        <v>60</v>
      </c>
      <c r="D46" s="3" t="n">
        <v>352</v>
      </c>
      <c r="E46" s="3" t="n">
        <v>285</v>
      </c>
      <c r="F46" s="9" t="n">
        <v>986627746725.68</v>
      </c>
    </row>
    <row r="47" customFormat="false" ht="15" hidden="false" customHeight="true" outlineLevel="0" collapsed="false">
      <c r="A47" s="3" t="n">
        <v>11</v>
      </c>
      <c r="B47" s="3" t="n">
        <v>65</v>
      </c>
      <c r="C47" s="3" t="n">
        <v>60</v>
      </c>
      <c r="D47" s="3" t="n">
        <v>354</v>
      </c>
      <c r="E47" s="3" t="n">
        <v>288</v>
      </c>
      <c r="F47" s="9" t="n">
        <v>1635878184349.99</v>
      </c>
    </row>
    <row r="48" customFormat="false" ht="15" hidden="false" customHeight="true" outlineLevel="0" collapsed="false">
      <c r="A48" s="3" t="n">
        <v>11.25</v>
      </c>
      <c r="B48" s="3" t="n">
        <v>65</v>
      </c>
      <c r="C48" s="3" t="n">
        <v>60</v>
      </c>
      <c r="D48" s="3" t="n">
        <v>356</v>
      </c>
      <c r="E48" s="3" t="n">
        <v>290</v>
      </c>
      <c r="F48" s="9" t="n">
        <v>3900444938460.84</v>
      </c>
    </row>
    <row r="49" customFormat="false" ht="15" hidden="false" customHeight="true" outlineLevel="0" collapsed="false">
      <c r="A49" s="3" t="n">
        <v>11.5</v>
      </c>
      <c r="B49" s="3" t="n">
        <v>65</v>
      </c>
      <c r="C49" s="3" t="n">
        <v>60</v>
      </c>
      <c r="D49" s="3" t="n">
        <v>358</v>
      </c>
      <c r="E49" s="3" t="n">
        <v>292</v>
      </c>
      <c r="F49" s="9" t="n">
        <v>2648171585945.16</v>
      </c>
    </row>
    <row r="50" customFormat="false" ht="15" hidden="false" customHeight="true" outlineLevel="0" collapsed="false">
      <c r="A50" s="3" t="n">
        <v>11.75</v>
      </c>
      <c r="B50" s="3" t="n">
        <v>65</v>
      </c>
      <c r="C50" s="3" t="n">
        <v>60</v>
      </c>
      <c r="D50" s="3" t="n">
        <v>360</v>
      </c>
      <c r="E50" s="3" t="n">
        <v>293</v>
      </c>
      <c r="F50" s="9" t="n">
        <v>5515800913303.04</v>
      </c>
    </row>
    <row r="51" customFormat="false" ht="15" hidden="false" customHeight="true" outlineLevel="0" collapsed="false">
      <c r="A51" s="3" t="n">
        <v>12</v>
      </c>
      <c r="B51" s="3" t="n">
        <v>65</v>
      </c>
      <c r="C51" s="3" t="n">
        <v>60</v>
      </c>
      <c r="D51" s="3" t="n">
        <v>361</v>
      </c>
      <c r="E51" s="3" t="n">
        <v>295</v>
      </c>
      <c r="F51" s="9" t="n">
        <v>6022228831147.15</v>
      </c>
    </row>
    <row r="52" customFormat="false" ht="15" hidden="false" customHeight="true" outlineLevel="0" collapsed="false">
      <c r="A52" s="3" t="n">
        <v>12.25</v>
      </c>
      <c r="B52" s="3" t="n">
        <v>65</v>
      </c>
      <c r="C52" s="3" t="n">
        <v>60</v>
      </c>
      <c r="D52" s="3" t="n">
        <v>363</v>
      </c>
      <c r="E52" s="3" t="n">
        <v>296</v>
      </c>
      <c r="F52" s="9" t="n">
        <v>3475405422462.84</v>
      </c>
    </row>
    <row r="53" customFormat="false" ht="15" hidden="false" customHeight="true" outlineLevel="0" collapsed="false">
      <c r="A53" s="3" t="n">
        <v>12.5</v>
      </c>
      <c r="B53" s="3" t="n">
        <v>65</v>
      </c>
      <c r="C53" s="3" t="n">
        <v>60</v>
      </c>
      <c r="D53" s="3" t="n">
        <v>364</v>
      </c>
      <c r="E53" s="3" t="n">
        <v>297</v>
      </c>
      <c r="F53" s="9" t="n">
        <v>8936871578688.89</v>
      </c>
    </row>
    <row r="54" customFormat="false" ht="15" hidden="false" customHeight="true" outlineLevel="0" collapsed="false">
      <c r="A54" s="3" t="n">
        <v>12.75</v>
      </c>
      <c r="B54" s="3" t="n">
        <v>65</v>
      </c>
      <c r="C54" s="3" t="n">
        <v>60</v>
      </c>
      <c r="D54" s="3" t="n">
        <v>365</v>
      </c>
      <c r="E54" s="3" t="n">
        <v>299</v>
      </c>
      <c r="F54" s="9" t="n">
        <v>1096870724796.25</v>
      </c>
    </row>
    <row r="55" customFormat="false" ht="15" hidden="false" customHeight="true" outlineLevel="0" collapsed="false">
      <c r="A55" s="3" t="n">
        <v>13</v>
      </c>
      <c r="B55" s="3" t="n">
        <v>65</v>
      </c>
      <c r="C55" s="3" t="n">
        <v>63</v>
      </c>
      <c r="D55" s="3" t="n">
        <v>366</v>
      </c>
      <c r="E55" s="3" t="n">
        <v>300</v>
      </c>
      <c r="F55" s="9" t="n">
        <v>4385927680892.5</v>
      </c>
    </row>
    <row r="56" customFormat="false" ht="15" hidden="false" customHeight="true" outlineLevel="0" collapsed="false">
      <c r="A56" s="3" t="n">
        <v>13.25</v>
      </c>
      <c r="B56" s="3" t="n">
        <v>65</v>
      </c>
      <c r="C56" s="3" t="n">
        <v>65</v>
      </c>
      <c r="D56" s="3" t="n">
        <v>368</v>
      </c>
      <c r="E56" s="3" t="n">
        <v>302</v>
      </c>
      <c r="F56" s="9" t="n">
        <v>2183006178741.85</v>
      </c>
    </row>
    <row r="57" customFormat="false" ht="15" hidden="false" customHeight="true" outlineLevel="0" collapsed="false">
      <c r="A57" s="3" t="n">
        <v>13.5</v>
      </c>
      <c r="B57" s="3" t="n">
        <v>65</v>
      </c>
      <c r="C57" s="3" t="n">
        <v>65</v>
      </c>
      <c r="D57" s="3" t="n">
        <v>370</v>
      </c>
      <c r="E57" s="3" t="n">
        <v>303</v>
      </c>
      <c r="F57" s="9" t="n">
        <v>8492261881839.61</v>
      </c>
    </row>
    <row r="58" customFormat="false" ht="15" hidden="false" customHeight="true" outlineLevel="0" collapsed="false">
      <c r="A58" s="3" t="n">
        <v>13.75</v>
      </c>
      <c r="B58" s="3" t="n">
        <v>65</v>
      </c>
      <c r="C58" s="3" t="n">
        <v>65</v>
      </c>
      <c r="D58" s="3" t="n">
        <v>371</v>
      </c>
      <c r="E58" s="3" t="n">
        <v>305</v>
      </c>
      <c r="F58" s="9" t="n">
        <v>9952964878215.42</v>
      </c>
    </row>
    <row r="59" customFormat="false" ht="15" hidden="false" customHeight="true" outlineLevel="0" collapsed="false">
      <c r="A59" s="3" t="n">
        <v>14</v>
      </c>
      <c r="B59" s="3" t="n">
        <v>65</v>
      </c>
      <c r="C59" s="3" t="n">
        <v>65</v>
      </c>
      <c r="D59" s="3" t="n">
        <v>373</v>
      </c>
      <c r="E59" s="3" t="n">
        <v>306</v>
      </c>
      <c r="F59" s="9" t="n">
        <v>5132071329158.86</v>
      </c>
    </row>
    <row r="60" customFormat="false" ht="15" hidden="false" customHeight="true" outlineLevel="0" collapsed="false">
      <c r="A60" s="3" t="n">
        <v>14.25</v>
      </c>
      <c r="B60" s="3" t="n">
        <v>65</v>
      </c>
      <c r="C60" s="3" t="n">
        <v>65</v>
      </c>
      <c r="D60" s="3" t="n">
        <v>374</v>
      </c>
      <c r="E60" s="3" t="n">
        <v>307</v>
      </c>
      <c r="F60" s="9" t="n">
        <v>16821888901871.9</v>
      </c>
    </row>
    <row r="61" customFormat="false" ht="15" hidden="false" customHeight="true" outlineLevel="0" collapsed="false">
      <c r="A61" s="3" t="n">
        <v>14.5</v>
      </c>
      <c r="B61" s="3" t="n">
        <v>65</v>
      </c>
      <c r="C61" s="3" t="n">
        <v>65</v>
      </c>
      <c r="D61" s="3" t="n">
        <v>375</v>
      </c>
      <c r="E61" s="3" t="n">
        <v>309</v>
      </c>
      <c r="F61" s="9" t="n">
        <v>24684469957994.1</v>
      </c>
    </row>
    <row r="62" customFormat="false" ht="15" hidden="false" customHeight="true" outlineLevel="0" collapsed="false">
      <c r="A62" s="3" t="n">
        <v>14.75</v>
      </c>
      <c r="B62" s="3" t="n">
        <v>65</v>
      </c>
      <c r="C62" s="3" t="n">
        <v>65</v>
      </c>
      <c r="D62" s="3" t="n">
        <v>377</v>
      </c>
      <c r="E62" s="3" t="n">
        <v>311</v>
      </c>
      <c r="F62" s="9" t="n">
        <v>27033540132679.3</v>
      </c>
    </row>
    <row r="63" customFormat="false" ht="15" hidden="false" customHeight="true" outlineLevel="0" collapsed="false">
      <c r="A63" s="3" t="n">
        <v>15</v>
      </c>
      <c r="B63" s="3" t="n">
        <v>65</v>
      </c>
      <c r="C63" s="3" t="n">
        <v>65</v>
      </c>
      <c r="D63" s="3" t="n">
        <v>379</v>
      </c>
      <c r="E63" s="3" t="n">
        <v>313</v>
      </c>
      <c r="F63" s="9" t="n">
        <v>13193848131378.7</v>
      </c>
    </row>
    <row r="64" customFormat="false" ht="15" hidden="false" customHeight="true" outlineLevel="0" collapsed="false">
      <c r="A64" s="3" t="n">
        <v>15.25</v>
      </c>
      <c r="B64" s="3" t="n">
        <v>65</v>
      </c>
      <c r="C64" s="3" t="n">
        <v>65</v>
      </c>
      <c r="D64" s="3" t="n">
        <v>381</v>
      </c>
      <c r="E64" s="3" t="n">
        <v>314</v>
      </c>
      <c r="F64" s="9" t="n">
        <v>18038136784110.7</v>
      </c>
    </row>
    <row r="65" customFormat="false" ht="15" hidden="false" customHeight="true" outlineLevel="0" collapsed="false">
      <c r="A65" s="3" t="n">
        <v>15.5</v>
      </c>
      <c r="B65" s="3" t="n">
        <v>65</v>
      </c>
      <c r="C65" s="3" t="n">
        <v>65</v>
      </c>
      <c r="D65" s="3" t="n">
        <v>382</v>
      </c>
      <c r="E65" s="3" t="n">
        <v>316</v>
      </c>
      <c r="F65" s="9" t="n">
        <v>12015269132792.4</v>
      </c>
    </row>
    <row r="66" customFormat="false" ht="15" hidden="false" customHeight="true" outlineLevel="0" collapsed="false">
      <c r="A66" s="3" t="n">
        <v>15.75</v>
      </c>
      <c r="B66" s="3" t="n">
        <v>65</v>
      </c>
      <c r="C66" s="3" t="n">
        <v>65</v>
      </c>
      <c r="D66" s="3" t="n">
        <v>383</v>
      </c>
      <c r="E66" s="3" t="n">
        <v>317</v>
      </c>
      <c r="F66" s="9" t="n">
        <v>37963658251446.8</v>
      </c>
    </row>
    <row r="67" customFormat="false" ht="15" hidden="false" customHeight="true" outlineLevel="0" collapsed="false">
      <c r="A67" s="3" t="n">
        <v>16</v>
      </c>
      <c r="B67" s="3" t="n">
        <v>65</v>
      </c>
      <c r="C67" s="3" t="n">
        <v>65</v>
      </c>
      <c r="D67" s="3" t="n">
        <v>385</v>
      </c>
      <c r="E67" s="3" t="n">
        <v>318</v>
      </c>
      <c r="F67" s="9" t="n">
        <v>8363241404164.53</v>
      </c>
    </row>
    <row r="68" customFormat="false" ht="15" hidden="false" customHeight="true" outlineLevel="0" collapsed="false">
      <c r="A68" s="3" t="n">
        <v>16.25</v>
      </c>
      <c r="B68" s="3" t="n">
        <v>65</v>
      </c>
      <c r="C68" s="3" t="n">
        <v>65</v>
      </c>
      <c r="D68" s="3" t="n">
        <v>386</v>
      </c>
      <c r="E68" s="3" t="n">
        <v>319</v>
      </c>
      <c r="F68" s="9" t="n">
        <v>17926265928483.9</v>
      </c>
    </row>
    <row r="69" customFormat="false" ht="15" hidden="false" customHeight="true" outlineLevel="0" collapsed="false">
      <c r="A69" s="3" t="n">
        <v>16.5</v>
      </c>
      <c r="B69" s="3" t="n">
        <v>65</v>
      </c>
      <c r="C69" s="3" t="n">
        <v>65</v>
      </c>
      <c r="D69" s="3" t="n">
        <v>387</v>
      </c>
      <c r="E69" s="3" t="n">
        <v>320</v>
      </c>
      <c r="F69" s="9" t="n">
        <v>20065957075243.9</v>
      </c>
    </row>
    <row r="70" customFormat="false" ht="15" hidden="false" customHeight="true" outlineLevel="0" collapsed="false">
      <c r="A70" s="3" t="n">
        <v>16.75</v>
      </c>
      <c r="B70" s="3" t="n">
        <v>65</v>
      </c>
      <c r="C70" s="3" t="n">
        <v>65</v>
      </c>
      <c r="D70" s="3" t="n">
        <v>388</v>
      </c>
      <c r="E70" s="3" t="n">
        <v>321</v>
      </c>
      <c r="F70" s="9" t="n">
        <v>14169515517915</v>
      </c>
    </row>
    <row r="71" customFormat="false" ht="15" hidden="false" customHeight="true" outlineLevel="0" collapsed="false">
      <c r="A71" s="3" t="n">
        <v>17</v>
      </c>
      <c r="B71" s="3" t="n">
        <v>65</v>
      </c>
      <c r="C71" s="3" t="n">
        <v>65</v>
      </c>
      <c r="D71" s="3" t="n">
        <v>388</v>
      </c>
      <c r="E71" s="3" t="n">
        <v>322</v>
      </c>
      <c r="F71" s="9" t="n">
        <v>65663607435957</v>
      </c>
    </row>
    <row r="72" customFormat="false" ht="15" hidden="false" customHeight="true" outlineLevel="0" collapsed="false">
      <c r="A72" s="3" t="n">
        <v>17.25</v>
      </c>
      <c r="B72" s="3" t="n">
        <v>65</v>
      </c>
      <c r="C72" s="3" t="n">
        <v>65</v>
      </c>
      <c r="D72" s="3" t="n">
        <v>389</v>
      </c>
      <c r="E72" s="3" t="n">
        <v>323</v>
      </c>
      <c r="F72" s="9" t="n">
        <v>46707562528795.2</v>
      </c>
    </row>
    <row r="73" customFormat="false" ht="15" hidden="false" customHeight="true" outlineLevel="0" collapsed="false">
      <c r="A73" s="3" t="n">
        <v>17.5</v>
      </c>
      <c r="B73" s="3" t="n">
        <v>65</v>
      </c>
      <c r="C73" s="3" t="n">
        <v>65</v>
      </c>
      <c r="D73" s="3" t="n">
        <v>390</v>
      </c>
      <c r="E73" s="3" t="n">
        <v>324</v>
      </c>
      <c r="F73" s="9" t="n">
        <v>18013898575081</v>
      </c>
    </row>
    <row r="74" customFormat="false" ht="15" hidden="false" customHeight="true" outlineLevel="0" collapsed="false">
      <c r="A74" s="3" t="n">
        <v>17.75</v>
      </c>
      <c r="B74" s="3" t="n">
        <v>65</v>
      </c>
      <c r="C74" s="3" t="n">
        <v>65</v>
      </c>
      <c r="D74" s="3" t="n">
        <v>391</v>
      </c>
      <c r="E74" s="3" t="n">
        <v>324</v>
      </c>
      <c r="F74" s="9" t="n">
        <v>56275607161469.9</v>
      </c>
    </row>
    <row r="75" customFormat="false" ht="15" hidden="false" customHeight="true" outlineLevel="0" collapsed="false">
      <c r="A75" s="3" t="n">
        <v>18</v>
      </c>
      <c r="B75" s="3" t="n">
        <v>65</v>
      </c>
      <c r="C75" s="3" t="n">
        <v>70</v>
      </c>
      <c r="D75" s="3" t="n">
        <v>392</v>
      </c>
      <c r="E75" s="3" t="n">
        <v>326</v>
      </c>
      <c r="F75" s="9" t="n">
        <v>22650205113935.7</v>
      </c>
    </row>
    <row r="76" customFormat="false" ht="15" hidden="false" customHeight="true" outlineLevel="0" collapsed="false">
      <c r="A76" s="3" t="n">
        <v>18.25</v>
      </c>
      <c r="B76" s="3" t="n">
        <v>65</v>
      </c>
      <c r="C76" s="3" t="n">
        <v>70</v>
      </c>
      <c r="D76" s="3" t="n">
        <v>393</v>
      </c>
      <c r="E76" s="3" t="n">
        <v>327</v>
      </c>
      <c r="F76" s="9" t="n">
        <v>78506650480891.1</v>
      </c>
    </row>
    <row r="77" customFormat="false" ht="15" hidden="false" customHeight="true" outlineLevel="0" collapsed="false">
      <c r="A77" s="3" t="n">
        <v>18.5</v>
      </c>
      <c r="B77" s="3" t="n">
        <v>65</v>
      </c>
      <c r="C77" s="3" t="n">
        <v>70</v>
      </c>
      <c r="D77" s="3" t="n">
        <v>395</v>
      </c>
      <c r="E77" s="3" t="n">
        <v>328</v>
      </c>
      <c r="F77" s="9" t="n">
        <v>19888755182804.4</v>
      </c>
    </row>
    <row r="78" customFormat="false" ht="15" hidden="false" customHeight="true" outlineLevel="0" collapsed="false">
      <c r="A78" s="3" t="n">
        <v>18.75</v>
      </c>
      <c r="B78" s="3" t="n">
        <v>65</v>
      </c>
      <c r="C78" s="3" t="n">
        <v>70</v>
      </c>
      <c r="D78" s="3" t="n">
        <v>396</v>
      </c>
      <c r="E78" s="3" t="n">
        <v>329</v>
      </c>
      <c r="F78" s="9" t="n">
        <v>42028891179261</v>
      </c>
    </row>
    <row r="79" customFormat="false" ht="15" hidden="false" customHeight="true" outlineLevel="0" collapsed="false">
      <c r="A79" s="3" t="n">
        <v>19</v>
      </c>
      <c r="B79" s="3" t="n">
        <v>65</v>
      </c>
      <c r="C79" s="3" t="n">
        <v>70</v>
      </c>
      <c r="D79" s="3" t="n">
        <v>397</v>
      </c>
      <c r="E79" s="3" t="n">
        <v>330</v>
      </c>
      <c r="F79" s="9" t="n">
        <v>48907232011483.8</v>
      </c>
    </row>
    <row r="80" customFormat="false" ht="15" hidden="false" customHeight="true" outlineLevel="0" collapsed="false">
      <c r="A80" s="3" t="n">
        <v>19.25</v>
      </c>
      <c r="B80" s="3" t="n">
        <v>65</v>
      </c>
      <c r="C80" s="3" t="n">
        <v>70</v>
      </c>
      <c r="D80" s="3" t="n">
        <v>398</v>
      </c>
      <c r="E80" s="3" t="n">
        <v>331</v>
      </c>
      <c r="F80" s="9" t="n">
        <v>39273970030494.6</v>
      </c>
    </row>
    <row r="81" customFormat="false" ht="15" hidden="false" customHeight="true" outlineLevel="0" collapsed="false">
      <c r="A81" s="3" t="n">
        <v>19.5</v>
      </c>
      <c r="B81" s="3" t="n">
        <v>65</v>
      </c>
      <c r="C81" s="3" t="n">
        <v>70</v>
      </c>
      <c r="D81" s="3" t="n">
        <v>399</v>
      </c>
      <c r="E81" s="3" t="n">
        <v>332</v>
      </c>
      <c r="F81" s="9" t="n">
        <v>11786206258736</v>
      </c>
    </row>
    <row r="82" customFormat="false" ht="15" hidden="false" customHeight="true" outlineLevel="0" collapsed="false">
      <c r="A82" s="3" t="n">
        <v>19.75</v>
      </c>
      <c r="B82" s="3" t="n">
        <v>65</v>
      </c>
      <c r="C82" s="3" t="n">
        <v>70</v>
      </c>
      <c r="D82" s="3" t="n">
        <v>399</v>
      </c>
      <c r="E82" s="3" t="n">
        <v>333</v>
      </c>
      <c r="F82" s="9" t="n">
        <v>111423820445786</v>
      </c>
    </row>
    <row r="83" customFormat="false" ht="15" hidden="false" customHeight="true" outlineLevel="0" collapsed="false">
      <c r="A83" s="3" t="n">
        <v>20</v>
      </c>
      <c r="B83" s="3" t="n">
        <v>70</v>
      </c>
      <c r="C83" s="3" t="n">
        <v>70</v>
      </c>
      <c r="D83" s="3" t="n">
        <v>401</v>
      </c>
      <c r="E83" s="3" t="n">
        <v>334</v>
      </c>
      <c r="F83" s="9" t="n">
        <v>91051797679002.4</v>
      </c>
    </row>
    <row r="84" customFormat="false" ht="15" hidden="false" customHeight="true" outlineLevel="0" collapsed="false">
      <c r="A84" s="3" t="n">
        <v>20.25</v>
      </c>
      <c r="B84" s="3" t="n">
        <v>70</v>
      </c>
      <c r="C84" s="3" t="n">
        <v>70</v>
      </c>
      <c r="D84" s="3" t="n">
        <v>402</v>
      </c>
      <c r="E84" s="3" t="n">
        <v>336</v>
      </c>
      <c r="F84" s="9" t="n">
        <v>62907877833452.3</v>
      </c>
    </row>
    <row r="85" customFormat="false" ht="15" hidden="false" customHeight="true" outlineLevel="0" collapsed="false">
      <c r="A85" s="3" t="n">
        <v>20.5</v>
      </c>
      <c r="B85" s="3" t="n">
        <v>70</v>
      </c>
      <c r="C85" s="3" t="n">
        <v>70</v>
      </c>
      <c r="D85" s="3" t="n">
        <v>403</v>
      </c>
      <c r="E85" s="3" t="n">
        <v>337</v>
      </c>
      <c r="F85" s="9" t="n">
        <v>170480766319242</v>
      </c>
    </row>
    <row r="86" customFormat="false" ht="15" hidden="false" customHeight="true" outlineLevel="0" collapsed="false">
      <c r="A86" s="3" t="n">
        <v>20.75</v>
      </c>
      <c r="B86" s="3" t="n">
        <v>70</v>
      </c>
      <c r="C86" s="3" t="n">
        <v>70</v>
      </c>
      <c r="D86" s="3" t="n">
        <v>405</v>
      </c>
      <c r="E86" s="3" t="n">
        <v>338</v>
      </c>
      <c r="F86" s="9" t="n">
        <v>41994991748445.6</v>
      </c>
    </row>
    <row r="87" customFormat="false" ht="15" hidden="false" customHeight="true" outlineLevel="0" collapsed="false">
      <c r="A87" s="3" t="n">
        <v>21</v>
      </c>
      <c r="B87" s="3" t="n">
        <v>70</v>
      </c>
      <c r="C87" s="3" t="n">
        <v>70</v>
      </c>
      <c r="D87" s="3" t="n">
        <v>406</v>
      </c>
      <c r="E87" s="3" t="n">
        <v>339</v>
      </c>
      <c r="F87" s="9" t="n">
        <v>79796970573661.4</v>
      </c>
    </row>
    <row r="88" customFormat="false" ht="15" hidden="false" customHeight="true" outlineLevel="0" collapsed="false">
      <c r="A88" s="3" t="n">
        <v>21.25</v>
      </c>
      <c r="B88" s="3" t="n">
        <v>70</v>
      </c>
      <c r="C88" s="3" t="n">
        <v>70</v>
      </c>
      <c r="D88" s="3" t="n">
        <v>407</v>
      </c>
      <c r="E88" s="3" t="n">
        <v>340</v>
      </c>
      <c r="F88" s="9" t="n">
        <v>85942423416144.4</v>
      </c>
    </row>
    <row r="89" customFormat="false" ht="15" hidden="false" customHeight="true" outlineLevel="0" collapsed="false">
      <c r="A89" s="3" t="n">
        <v>21.5</v>
      </c>
      <c r="B89" s="3" t="n">
        <v>70</v>
      </c>
      <c r="C89" s="3" t="n">
        <v>70</v>
      </c>
      <c r="D89" s="3" t="n">
        <v>408</v>
      </c>
      <c r="E89" s="3" t="n">
        <v>341</v>
      </c>
      <c r="F89" s="9" t="n">
        <v>57877930160309.7</v>
      </c>
    </row>
    <row r="90" customFormat="false" ht="15" hidden="false" customHeight="true" outlineLevel="0" collapsed="false">
      <c r="A90" s="3" t="n">
        <v>21.75</v>
      </c>
      <c r="B90" s="3" t="n">
        <v>70</v>
      </c>
      <c r="C90" s="3" t="n">
        <v>70</v>
      </c>
      <c r="D90" s="3" t="n">
        <v>408</v>
      </c>
      <c r="E90" s="3" t="n">
        <v>342</v>
      </c>
      <c r="F90" s="9" t="n">
        <v>273528821470454</v>
      </c>
    </row>
    <row r="91" customFormat="false" ht="15" hidden="false" customHeight="true" outlineLevel="0" collapsed="false">
      <c r="A91" s="3" t="n">
        <v>22</v>
      </c>
      <c r="B91" s="3" t="n">
        <v>70</v>
      </c>
      <c r="C91" s="3" t="n">
        <v>70</v>
      </c>
      <c r="D91" s="3" t="n">
        <v>409</v>
      </c>
      <c r="E91" s="3" t="n">
        <v>343</v>
      </c>
      <c r="F91" s="9" t="n">
        <v>189830659631547</v>
      </c>
    </row>
    <row r="92" customFormat="false" ht="15" hidden="false" customHeight="true" outlineLevel="0" collapsed="false">
      <c r="A92" s="3" t="n">
        <v>22.25</v>
      </c>
      <c r="B92" s="3" t="n">
        <v>70</v>
      </c>
      <c r="C92" s="3" t="n">
        <v>70</v>
      </c>
      <c r="D92" s="3" t="n">
        <v>410</v>
      </c>
      <c r="E92" s="3" t="n">
        <v>344</v>
      </c>
      <c r="F92" s="9" t="n">
        <v>64724370126453.3</v>
      </c>
    </row>
    <row r="93" customFormat="false" ht="15" hidden="false" customHeight="true" outlineLevel="0" collapsed="false">
      <c r="A93" s="3" t="n">
        <v>22.5</v>
      </c>
      <c r="B93" s="3" t="n">
        <v>70</v>
      </c>
      <c r="C93" s="3" t="n">
        <v>70</v>
      </c>
      <c r="D93" s="3" t="n">
        <v>411</v>
      </c>
      <c r="E93" s="3" t="n">
        <v>344</v>
      </c>
      <c r="F93" s="9" t="n">
        <v>223949284100317</v>
      </c>
    </row>
    <row r="94" customFormat="false" ht="15" hidden="false" customHeight="true" outlineLevel="0" collapsed="false">
      <c r="A94" s="3" t="n">
        <v>22.75</v>
      </c>
      <c r="B94" s="3" t="n">
        <v>70</v>
      </c>
      <c r="C94" s="3" t="n">
        <v>70</v>
      </c>
      <c r="D94" s="3" t="n">
        <v>412</v>
      </c>
      <c r="E94" s="3" t="n">
        <v>345</v>
      </c>
      <c r="F94" s="9" t="n">
        <v>30712581631161.4</v>
      </c>
    </row>
    <row r="95" customFormat="false" ht="15" hidden="false" customHeight="true" outlineLevel="0" collapsed="false">
      <c r="A95" s="3" t="n">
        <v>23</v>
      </c>
      <c r="B95" s="3" t="n">
        <v>70</v>
      </c>
      <c r="C95" s="3" t="n">
        <v>70</v>
      </c>
      <c r="D95" s="3" t="n">
        <v>412</v>
      </c>
      <c r="E95" s="3" t="n">
        <v>346</v>
      </c>
      <c r="F95" s="9" t="n">
        <v>162439925212275</v>
      </c>
    </row>
    <row r="96" customFormat="false" ht="15" hidden="false" customHeight="true" outlineLevel="0" collapsed="false">
      <c r="A96" s="3" t="n">
        <v>23.25</v>
      </c>
      <c r="B96" s="3" t="n">
        <v>70</v>
      </c>
      <c r="C96" s="3" t="n">
        <v>70</v>
      </c>
      <c r="D96" s="3" t="n">
        <v>413</v>
      </c>
      <c r="E96" s="3" t="n">
        <v>346</v>
      </c>
      <c r="F96" s="9" t="n">
        <v>273786464056544</v>
      </c>
    </row>
    <row r="97" customFormat="false" ht="15" hidden="false" customHeight="true" outlineLevel="0" collapsed="false">
      <c r="A97" s="3" t="n">
        <v>23.5</v>
      </c>
      <c r="B97" s="3" t="n">
        <v>70</v>
      </c>
      <c r="C97" s="3" t="n">
        <v>70</v>
      </c>
      <c r="D97" s="3" t="n">
        <v>413</v>
      </c>
      <c r="E97" s="3" t="n">
        <v>347</v>
      </c>
      <c r="F97" s="9" t="n">
        <v>380455946936929</v>
      </c>
    </row>
    <row r="98" customFormat="false" ht="15" hidden="false" customHeight="true" outlineLevel="0" collapsed="false">
      <c r="A98" s="3" t="n">
        <v>23.75</v>
      </c>
      <c r="B98" s="3" t="n">
        <v>70</v>
      </c>
      <c r="C98" s="3" t="n">
        <v>70</v>
      </c>
      <c r="D98" s="3" t="n">
        <v>414</v>
      </c>
      <c r="E98" s="3" t="n">
        <v>348</v>
      </c>
      <c r="F98" s="9" t="n">
        <v>56625947148737.3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2" min="2" style="1" width="14"/>
  </cols>
  <sheetData>
    <row r="1" customFormat="false" ht="15" hidden="false" customHeight="true" outlineLevel="0" collapsed="false">
      <c r="A1" s="2" t="s">
        <v>67</v>
      </c>
    </row>
    <row r="2" customFormat="false" ht="15" hidden="false" customHeight="true" outlineLevel="0" collapsed="false">
      <c r="A2" s="2" t="s">
        <v>68</v>
      </c>
      <c r="B2" s="2" t="s">
        <v>69</v>
      </c>
    </row>
    <row r="3" customFormat="false" ht="15" hidden="false" customHeight="true" outlineLevel="0" collapsed="false">
      <c r="A3" s="3" t="s">
        <v>70</v>
      </c>
      <c r="B3" s="10" t="n">
        <f aca="false">IFERROR(INDEX(Simulation!$A$3:$A$98,MATCH(10-0.5,Simulation!$B$3:$B$98,1)+1),"not reached")</f>
        <v>0.25</v>
      </c>
    </row>
    <row r="4" customFormat="false" ht="15" hidden="false" customHeight="true" outlineLevel="0" collapsed="false">
      <c r="A4" s="3" t="s">
        <v>71</v>
      </c>
      <c r="B4" s="10" t="n">
        <f aca="false">IFERROR(INDEX(Simulation!$A$3:$A$98,MATCH(25-0.5,Simulation!$B$3:$B$98,1)+1),"not reached")</f>
        <v>1</v>
      </c>
    </row>
    <row r="5" customFormat="false" ht="15" hidden="false" customHeight="true" outlineLevel="0" collapsed="false">
      <c r="A5" s="3" t="s">
        <v>72</v>
      </c>
      <c r="B5" s="10" t="n">
        <f aca="false">IFERROR(INDEX(Simulation!$A$3:$A$98,MATCH(50-0.5,Simulation!$B$3:$B$98,1)+1),"not reached")</f>
        <v>3.75</v>
      </c>
    </row>
    <row r="6" customFormat="false" ht="15" hidden="false" customHeight="true" outlineLevel="0" collapsed="false">
      <c r="A6" s="3" t="s">
        <v>73</v>
      </c>
      <c r="B6" s="10" t="n">
        <f aca="false">IFERROR(INDEX(Simulation!$A$3:$A$98,MATCH(65-0.5,Simulation!$B$3:$B$98,1)+1),"not reached")</f>
        <v>10.75</v>
      </c>
    </row>
    <row r="7" customFormat="false" ht="15" hidden="false" customHeight="true" outlineLevel="0" collapsed="false">
      <c r="A7" s="3" t="s">
        <v>74</v>
      </c>
      <c r="B7" s="10" t="n">
        <f aca="false">IFERROR(INDEX(Simulation!$A$3:$A$98,MATCH(50-0.5,Simulation!$C$3:$C$98,1)+1),"not reached")</f>
        <v>4</v>
      </c>
    </row>
    <row r="9" customFormat="false" ht="15" hidden="false" customHeight="true" outlineLevel="0" collapsed="false">
      <c r="A9" s="3" t="s">
        <v>75</v>
      </c>
      <c r="B9" s="3" t="n">
        <v>10</v>
      </c>
    </row>
    <row r="10" customFormat="false" ht="15" hidden="false" customHeight="true" outlineLevel="0" collapsed="false">
      <c r="A10" s="3" t="s">
        <v>76</v>
      </c>
      <c r="B10" s="3" t="n">
        <f aca="false">2*INT((70-Assumptions!$B$24)/Assumptions!$B$25)</f>
        <v>12</v>
      </c>
    </row>
    <row r="11" customFormat="false" ht="15" hidden="false" customHeight="true" outlineLevel="0" collapsed="false">
      <c r="A11" s="3" t="s">
        <v>77</v>
      </c>
      <c r="B11" s="11" t="n">
        <f aca="false">B10*Assumptions!$B$26</f>
        <v>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2026-07-17T15:00:05Z</dcterms:created>
  <dc:creator>openpyxl</dc:creator>
  <dc:description/>
  <dc:language>en-US</dc:language>
  <cp:lastModifiedBy/>
  <dcterms:modified xsi:type="dcterms:W3CDTF">2026-07-17T21:41:19Z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